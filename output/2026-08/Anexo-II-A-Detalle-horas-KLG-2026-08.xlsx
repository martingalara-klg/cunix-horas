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7570" yWindow="0" windowWidth="29040" windowHeight="15480" tabRatio="600" firstSheet="0" activeTab="1" autoFilterDateGrouping="1"/>
  </bookViews>
  <sheets>
    <sheet xmlns:r="http://schemas.openxmlformats.org/officeDocument/2006/relationships" name="Instrucciones" sheetId="1" state="visible" r:id="rId1"/>
    <sheet xmlns:r="http://schemas.openxmlformats.org/officeDocument/2006/relationships" name="Resumen" sheetId="2" state="visible" r:id="rId2"/>
    <sheet xmlns:r="http://schemas.openxmlformats.org/officeDocument/2006/relationships" name="Datos" sheetId="3" state="visible" r:id="rId3"/>
    <sheet xmlns:r="http://schemas.openxmlformats.org/officeDocument/2006/relationships" name="Detalle" sheetId="4" state="visible" r:id="rId4"/>
  </sheets>
  <definedNames>
    <definedName name="_xlnm._FilterDatabase" localSheetId="3" hidden="1">'Detalle'!$A$1:$L$601</definedName>
  </definedNames>
  <calcPr calcId="181029" fullCalcOnLoad="1"/>
</workbook>
</file>

<file path=xl/styles.xml><?xml version="1.0" encoding="utf-8"?>
<styleSheet xmlns="http://schemas.openxmlformats.org/spreadsheetml/2006/main">
  <numFmts count="1">
    <numFmt numFmtId="164" formatCode="hh:mm"/>
  </numFmts>
  <fonts count="13">
    <font>
      <name val="Calibri"/>
      <family val="2"/>
      <color theme="1"/>
      <sz val="11"/>
      <scheme val="minor"/>
    </font>
    <font>
      <name val="Arial"/>
      <b val="1"/>
      <color rgb="FF000000"/>
      <sz val="14"/>
    </font>
    <font>
      <name val="Arial"/>
      <b val="1"/>
      <color rgb="FF000000"/>
      <sz val="11"/>
    </font>
    <font>
      <name val="Arial"/>
      <color rgb="FF000000"/>
      <sz val="10"/>
    </font>
    <font>
      <name val="Arial"/>
      <b val="1"/>
      <color rgb="FF000000"/>
      <sz val="12"/>
    </font>
    <font>
      <name val="Arial"/>
      <b val="1"/>
      <color rgb="FF000000"/>
      <sz val="10"/>
    </font>
    <font>
      <name val="Arial"/>
      <b val="1"/>
      <color rgb="FFFFFFFF"/>
      <sz val="10"/>
    </font>
    <font>
      <name val="Arial"/>
      <i val="1"/>
      <color rgb="FF7F7F7F"/>
      <sz val="9"/>
    </font>
    <font>
      <name val="Arial"/>
      <color rgb="FFA6A6A6"/>
      <sz val="8"/>
    </font>
    <font>
      <name val="Arial"/>
      <b val="1"/>
      <color rgb="FFFFFFFF"/>
      <sz val="8"/>
    </font>
    <font>
      <name val="Arial"/>
      <b val="1"/>
      <color rgb="FF000000"/>
      <sz val="13"/>
    </font>
    <font>
      <name val="Arial"/>
      <sz val="10"/>
    </font>
    <font>
      <name val="Arial"/>
      <b val="1"/>
      <color rgb="FFC00000"/>
      <sz val="11"/>
    </font>
  </fonts>
  <fills count="8">
    <fill>
      <patternFill/>
    </fill>
    <fill>
      <patternFill patternType="gray125"/>
    </fill>
    <fill>
      <patternFill patternType="solid">
        <fgColor rgb="FFFFF2CC"/>
      </patternFill>
    </fill>
    <fill>
      <patternFill patternType="solid">
        <fgColor rgb="FF1F3864"/>
      </patternFill>
    </fill>
    <fill>
      <patternFill patternType="solid">
        <fgColor rgb="FF2E75B6"/>
      </patternFill>
    </fill>
    <fill>
      <patternFill patternType="solid">
        <fgColor rgb="FFF2F2F2"/>
      </patternFill>
    </fill>
    <fill>
      <patternFill patternType="solid">
        <fgColor rgb="FFDDEBF7"/>
      </patternFill>
    </fill>
    <fill>
      <patternFill patternType="solid">
        <fgColor rgb="FFA6A6A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10" fillId="0" borderId="0" pivotButton="0" quotePrefix="0" xfId="0"/>
    <xf numFmtId="0" fontId="2" fillId="0" borderId="0" pivotButton="0" quotePrefix="0" xfId="0"/>
    <xf numFmtId="0" fontId="5" fillId="0" borderId="0" pivotButton="0" quotePrefix="0" xfId="0"/>
    <xf numFmtId="2" fontId="3" fillId="5" borderId="1" pivotButton="0" quotePrefix="0" xfId="0"/>
    <xf numFmtId="2" fontId="3" fillId="6" borderId="1" pivotButton="0" quotePrefix="0" xfId="0"/>
    <xf numFmtId="0" fontId="7" fillId="0" borderId="0" pivotButton="0" quotePrefix="0" xfId="0"/>
    <xf numFmtId="0" fontId="6" fillId="3" borderId="1" applyAlignment="1" pivotButton="0" quotePrefix="0" xfId="0">
      <alignment vertical="center" wrapText="1"/>
    </xf>
    <xf numFmtId="4" fontId="3" fillId="5" borderId="1" pivotButton="0" quotePrefix="0" xfId="0"/>
    <xf numFmtId="4" fontId="5" fillId="5" borderId="1" pivotButton="0" quotePrefix="0" xfId="0"/>
    <xf numFmtId="1" fontId="3" fillId="5" borderId="1" pivotButton="0" quotePrefix="0" xfId="0"/>
    <xf numFmtId="2" fontId="5" fillId="5" borderId="1" pivotButton="0" quotePrefix="0" xfId="0"/>
    <xf numFmtId="0" fontId="4" fillId="0" borderId="0" pivotButton="0" quotePrefix="0" xfId="0"/>
    <xf numFmtId="0" fontId="3" fillId="2" borderId="1" pivotButton="0" quotePrefix="0" xfId="0"/>
    <xf numFmtId="4" fontId="3" fillId="2" borderId="1" pivotButton="0" quotePrefix="0" xfId="0"/>
    <xf numFmtId="0" fontId="6" fillId="4" borderId="1" applyAlignment="1" pivotButton="0" quotePrefix="0" xfId="0">
      <alignment vertical="center" wrapText="1"/>
    </xf>
    <xf numFmtId="0" fontId="9" fillId="7" borderId="0" pivotButton="0" quotePrefix="0" xfId="0"/>
    <xf numFmtId="0" fontId="3" fillId="5" borderId="1" applyAlignment="1" pivotButton="0" quotePrefix="0" xfId="0">
      <alignment vertical="top" wrapText="1"/>
    </xf>
    <xf numFmtId="0" fontId="3" fillId="6" borderId="1" applyAlignment="1" pivotButton="0" quotePrefix="0" xfId="0">
      <alignment vertical="top"/>
    </xf>
    <xf numFmtId="2" fontId="3" fillId="6" borderId="1" applyAlignment="1" pivotButton="0" quotePrefix="0" xfId="0">
      <alignment vertical="top"/>
    </xf>
    <xf numFmtId="2" fontId="3" fillId="5" borderId="1" applyAlignment="1" pivotButton="0" quotePrefix="0" xfId="0">
      <alignment vertical="top"/>
    </xf>
    <xf numFmtId="0" fontId="3" fillId="6" borderId="1" applyAlignment="1" pivotButton="0" quotePrefix="0" xfId="0">
      <alignment vertical="top" wrapText="1"/>
    </xf>
    <xf numFmtId="0" fontId="8" fillId="5" borderId="0" pivotButton="0" quotePrefix="0" xfId="0"/>
    <xf numFmtId="14" fontId="3" fillId="2" borderId="1" applyAlignment="1" pivotButton="0" quotePrefix="0" xfId="0">
      <alignment vertical="top"/>
    </xf>
    <xf numFmtId="164" fontId="3" fillId="2" borderId="1" applyAlignment="1" pivotButton="0" quotePrefix="0" xfId="0">
      <alignment vertical="top"/>
    </xf>
    <xf numFmtId="0" fontId="3" fillId="2" borderId="1" applyAlignment="1" pivotButton="0" quotePrefix="0" xfId="0">
      <alignment vertical="top"/>
    </xf>
    <xf numFmtId="0" fontId="3" fillId="2" borderId="1" applyAlignment="1" pivotButton="0" quotePrefix="0" xfId="0">
      <alignment vertical="top" wrapText="1"/>
    </xf>
    <xf numFmtId="2" fontId="3" fillId="2" borderId="1" applyAlignment="1" pivotButton="0" quotePrefix="0" xfId="0">
      <alignment vertical="top"/>
    </xf>
    <xf numFmtId="0" fontId="12" fillId="0" borderId="0" pivotButton="0" quotePrefix="0" xfId="0"/>
    <xf numFmtId="14" fontId="11" fillId="2" borderId="1" applyAlignment="1" pivotButton="0" quotePrefix="0" xfId="0">
      <alignment vertical="top"/>
    </xf>
    <xf numFmtId="164" fontId="11" fillId="2" borderId="1" applyAlignment="1" pivotButton="0" quotePrefix="0" xfId="0">
      <alignment vertical="top"/>
    </xf>
    <xf numFmtId="0" fontId="11" fillId="2" borderId="1" applyAlignment="1" pivotButton="0" quotePrefix="0" xfId="0">
      <alignment vertical="top"/>
    </xf>
    <xf numFmtId="0" fontId="11" fillId="2" borderId="1" applyAlignment="1" pivotButton="0" quotePrefix="0" xfId="0">
      <alignment vertical="top" wrapText="1"/>
    </xf>
    <xf numFmtId="2" fontId="11" fillId="2" borderId="1" applyAlignment="1" pivotButton="0" quotePrefix="0" xfId="0">
      <alignment vertical="top"/>
    </xf>
  </cellXfs>
  <cellStyles count="1">
    <cellStyle name="Normal" xfId="0" builtinId="0"/>
  </cellStyles>
  <dxfs count="1">
    <dxf>
      <font>
        <name val="Arial"/>
        <b val="1"/>
        <color rgb="FF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14"/>
  <sheetViews>
    <sheetView workbookViewId="0">
      <selection activeCell="A1" sqref="A1"/>
    </sheetView>
  </sheetViews>
  <sheetFormatPr baseColWidth="10" defaultColWidth="9.140625" defaultRowHeight="15"/>
  <cols>
    <col width="3" customWidth="1" min="1" max="1"/>
    <col width="115" customWidth="1" min="2" max="2"/>
  </cols>
  <sheetData>
    <row r="1" ht="18" customHeight="1">
      <c r="B1" s="1" t="inlineStr">
        <is>
          <t>Anexo II-A — Detalle mensual de horas de KLG</t>
        </is>
      </c>
    </row>
    <row r="2">
      <c r="B2" s="31" t="inlineStr">
        <is>
          <t>EJEMPLO — Agosto 2026 armado por C.UNIX con los 70 registros de Kimai (306 h), como debió entregarse. Las descripciones son las que cada persona cargó en Kimai: donde faltan o no citan ticket, la columna «Alertas» lo marca. Desde el próximo mes, KLG completa este mismo archivo.</t>
        </is>
      </c>
    </row>
    <row r="3">
      <c r="B3" s="2" t="inlineStr">
        <is>
          <t>KLG completa (celdas amarillas)</t>
        </is>
      </c>
    </row>
    <row r="4">
      <c r="B4" s="3" t="inlineStr">
        <is>
          <t>1. Hoja «Datos»: período, equipo (una fila por persona, con su perfil) y valor hora por proyecto.</t>
        </is>
      </c>
    </row>
    <row r="5" ht="25.5" customHeight="1">
      <c r="B5" s="3" t="inlineStr">
        <is>
          <t>2. En Kimai: Horas → filtrar el mes completo y las personas de KLG → Exportar a Excel. Pegar en la hoja «Detalle», una fila por registro: Fecha, Inicio, Fin, Persona, Proyecto, Descripción y Horas.</t>
        </is>
      </c>
    </row>
    <row r="6" ht="25.5" customHeight="1">
      <c r="B6" s="3" t="inlineStr">
        <is>
          <t>3. Cada descripción empieza con el ticket de iTop o la tarea de ClickUp y dice qué se hizo. Ejemplo: «R-012532 – Corrección del error al pujar en Subastas». Se carga así en Kimai y sale sola en la exportación.</t>
        </is>
      </c>
    </row>
    <row r="7">
      <c r="B7" s="3" t="inlineStr">
        <is>
          <t>4. Revisar la columna «Alertas» y explicar en el informe (sección 4) las que queden.</t>
        </is>
      </c>
    </row>
    <row r="8">
      <c r="B8" s="3" t="inlineStr">
        <is>
          <t>5. Copiar al informe los totales de la hoja «Resumen». Informe, anexo y factura deben tener las mismas horas que Kimai.</t>
        </is>
      </c>
    </row>
    <row r="9">
      <c r="B9" s="3" t="n"/>
    </row>
    <row r="10">
      <c r="B10" s="2" t="inlineStr">
        <is>
          <t>C.UNIX revisa (celdas celestes)</t>
        </is>
      </c>
    </row>
    <row r="11">
      <c r="B11" s="3" t="inlineStr">
        <is>
          <t>6. Concilia el total contra Kimai (hoja «Resumen»).</t>
        </is>
      </c>
    </row>
    <row r="12" ht="25.5" customHeight="1">
      <c r="B12" s="3" t="inlineStr">
        <is>
          <t>7. En «Detalle» marca cada registro: Aprobada, Observada o Rechazada. Para aprobar solo una parte, escribe las horas en «Horas aprobadas». Un registro sin marcar se paga completo; uno observado o rechazado, no.</t>
        </is>
      </c>
    </row>
    <row r="13">
      <c r="B13" s="3" t="n"/>
    </row>
    <row r="14">
      <c r="B14" s="3" t="inlineStr">
        <is>
          <t>Gris = se calcula solo, no editar. Las filas 2 y 3 de «Detalle» son ejemplos: borrarlas antes de enviar.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7"/>
  <sheetViews>
    <sheetView tabSelected="1" workbookViewId="0">
      <selection activeCell="A1" sqref="A1"/>
    </sheetView>
  </sheetViews>
  <sheetFormatPr baseColWidth="10" defaultColWidth="9.140625" defaultRowHeight="15"/>
  <cols>
    <col width="30" customWidth="1" min="1" max="2"/>
    <col width="11" customWidth="1" min="3" max="4"/>
    <col width="13" customWidth="1" min="5" max="6"/>
    <col width="12" customWidth="1" min="7" max="7"/>
    <col width="13" customWidth="1" min="8" max="8"/>
  </cols>
  <sheetData>
    <row r="1" ht="16.5" customHeight="1">
      <c r="A1" s="4">
        <f>CONCATENATE("Resumen — ",Datos!B2)</f>
        <v/>
      </c>
    </row>
    <row r="3">
      <c r="A3" s="5" t="inlineStr">
        <is>
          <t>Control</t>
        </is>
      </c>
    </row>
    <row r="4">
      <c r="A4" s="6" t="inlineStr">
        <is>
          <t>Horas del detalle (informe KLG)</t>
        </is>
      </c>
      <c r="B4" s="7">
        <f>SUM(Detalle!G2:G601)</f>
        <v/>
      </c>
    </row>
    <row r="5">
      <c r="A5" s="6" t="inlineStr">
        <is>
          <t>Horas en Kimai según C.UNIX</t>
        </is>
      </c>
      <c r="B5" s="8" t="n">
        <v>306</v>
      </c>
      <c r="C5" s="9" t="inlineStr">
        <is>
          <t>Registros de Kimai al 29/09/2026. Coinciden día por día con las exportaciones enviadas por KLG.</t>
        </is>
      </c>
    </row>
    <row r="6">
      <c r="A6" s="6" t="inlineStr">
        <is>
          <t>Diferencia</t>
        </is>
      </c>
      <c r="B6" s="7">
        <f>IF(B5="","",B4-B5)</f>
        <v/>
      </c>
      <c r="C6" s="9" t="inlineStr">
        <is>
          <t>← debe ser 0</t>
        </is>
      </c>
    </row>
    <row r="7">
      <c r="A7" s="6" t="inlineStr">
        <is>
          <t>Horas con alertas</t>
        </is>
      </c>
      <c r="B7" s="7">
        <f>SUMPRODUCT((Detalle!H2:H601&lt;&gt;"")*Detalle!G2:G601)</f>
        <v/>
      </c>
    </row>
    <row r="8">
      <c r="A8" s="6" t="inlineStr">
        <is>
          <t>Horas sin ticket</t>
        </is>
      </c>
      <c r="B8" s="7">
        <f>SUMPRODUCT(ISNUMBER(SEARCH("Sin ticket",Detalle!H2:H601))*Detalle!G2:G601)</f>
        <v/>
      </c>
    </row>
    <row r="10">
      <c r="A10" s="5" t="inlineStr">
        <is>
          <t>1. Horas e importe por proyecto</t>
        </is>
      </c>
    </row>
    <row r="11" ht="25.5" customHeight="1">
      <c r="A11" s="10" t="inlineStr">
        <is>
          <t>Proyecto</t>
        </is>
      </c>
      <c r="B11" s="10" t="inlineStr">
        <is>
          <t>Cliente</t>
        </is>
      </c>
      <c r="C11" s="10" t="inlineStr">
        <is>
          <t>Horas</t>
        </is>
      </c>
      <c r="D11" s="10" t="inlineStr">
        <is>
          <t>Valor hora</t>
        </is>
      </c>
      <c r="E11" s="10" t="inlineStr">
        <is>
          <t>Importe</t>
        </is>
      </c>
      <c r="F11" s="10" t="inlineStr">
        <is>
          <t>Horas a pagar</t>
        </is>
      </c>
      <c r="G11" s="10" t="inlineStr">
        <is>
          <t>Importe a pagar</t>
        </is>
      </c>
    </row>
    <row r="12">
      <c r="A12" s="7">
        <f>IF(Datos!E8="","",Datos!E8)</f>
        <v/>
      </c>
      <c r="B12" s="7">
        <f>IF(A12="","",Datos!F8)</f>
        <v/>
      </c>
      <c r="C12" s="7">
        <f>IF(A12="","",SUMIFS(Detalle!$G$2:$G$601,Detalle!$E$2:$E$601,A12))</f>
        <v/>
      </c>
      <c r="D12" s="11">
        <f>IF(A12="","",Datos!G8)</f>
        <v/>
      </c>
      <c r="E12" s="11">
        <f>IF(A12="","",C12*D12)</f>
        <v/>
      </c>
      <c r="F12" s="7">
        <f>IF(A12="","",SUMIFS(Detalle!$K$2:$K$601,Detalle!$E$2:$E$601,A12))</f>
        <v/>
      </c>
      <c r="G12" s="11">
        <f>IF(A12="","",F12*D12)</f>
        <v/>
      </c>
    </row>
    <row r="13">
      <c r="A13" s="7">
        <f>IF(Datos!E9="","",Datos!E9)</f>
        <v/>
      </c>
      <c r="B13" s="7">
        <f>IF(A13="","",Datos!F9)</f>
        <v/>
      </c>
      <c r="C13" s="7">
        <f>IF(A13="","",SUMIFS(Detalle!$G$2:$G$601,Detalle!$E$2:$E$601,A13))</f>
        <v/>
      </c>
      <c r="D13" s="11">
        <f>IF(A13="","",Datos!G9)</f>
        <v/>
      </c>
      <c r="E13" s="11">
        <f>IF(A13="","",C13*D13)</f>
        <v/>
      </c>
      <c r="F13" s="7">
        <f>IF(A13="","",SUMIFS(Detalle!$K$2:$K$601,Detalle!$E$2:$E$601,A13))</f>
        <v/>
      </c>
      <c r="G13" s="11">
        <f>IF(A13="","",F13*D13)</f>
        <v/>
      </c>
    </row>
    <row r="14">
      <c r="A14" s="7">
        <f>IF(Datos!E10="","",Datos!E10)</f>
        <v/>
      </c>
      <c r="B14" s="7">
        <f>IF(A14="","",Datos!F10)</f>
        <v/>
      </c>
      <c r="C14" s="7">
        <f>IF(A14="","",SUMIFS(Detalle!$G$2:$G$601,Detalle!$E$2:$E$601,A14))</f>
        <v/>
      </c>
      <c r="D14" s="11">
        <f>IF(A14="","",Datos!G10)</f>
        <v/>
      </c>
      <c r="E14" s="11">
        <f>IF(A14="","",C14*D14)</f>
        <v/>
      </c>
      <c r="F14" s="7">
        <f>IF(A14="","",SUMIFS(Detalle!$K$2:$K$601,Detalle!$E$2:$E$601,A14))</f>
        <v/>
      </c>
      <c r="G14" s="11">
        <f>IF(A14="","",F14*D14)</f>
        <v/>
      </c>
    </row>
    <row r="15">
      <c r="A15" s="7">
        <f>IF(Datos!E11="","",Datos!E11)</f>
        <v/>
      </c>
      <c r="B15" s="7">
        <f>IF(A15="","",Datos!F11)</f>
        <v/>
      </c>
      <c r="C15" s="7">
        <f>IF(A15="","",SUMIFS(Detalle!$G$2:$G$601,Detalle!$E$2:$E$601,A15))</f>
        <v/>
      </c>
      <c r="D15" s="11">
        <f>IF(A15="","",Datos!G11)</f>
        <v/>
      </c>
      <c r="E15" s="11">
        <f>IF(A15="","",C15*D15)</f>
        <v/>
      </c>
      <c r="F15" s="7">
        <f>IF(A15="","",SUMIFS(Detalle!$K$2:$K$601,Detalle!$E$2:$E$601,A15))</f>
        <v/>
      </c>
      <c r="G15" s="11">
        <f>IF(A15="","",F15*D15)</f>
        <v/>
      </c>
    </row>
    <row r="16">
      <c r="A16" s="7">
        <f>IF(Datos!E12="","",Datos!E12)</f>
        <v/>
      </c>
      <c r="B16" s="7">
        <f>IF(A16="","",Datos!F12)</f>
        <v/>
      </c>
      <c r="C16" s="7">
        <f>IF(A16="","",SUMIFS(Detalle!$G$2:$G$601,Detalle!$E$2:$E$601,A16))</f>
        <v/>
      </c>
      <c r="D16" s="11">
        <f>IF(A16="","",Datos!G12)</f>
        <v/>
      </c>
      <c r="E16" s="11">
        <f>IF(A16="","",C16*D16)</f>
        <v/>
      </c>
      <c r="F16" s="7">
        <f>IF(A16="","",SUMIFS(Detalle!$K$2:$K$601,Detalle!$E$2:$E$601,A16))</f>
        <v/>
      </c>
      <c r="G16" s="11">
        <f>IF(A16="","",F16*D16)</f>
        <v/>
      </c>
    </row>
    <row r="17">
      <c r="A17" s="7">
        <f>IF(Datos!E13="","",Datos!E13)</f>
        <v/>
      </c>
      <c r="B17" s="7">
        <f>IF(A17="","",Datos!F13)</f>
        <v/>
      </c>
      <c r="C17" s="7">
        <f>IF(A17="","",SUMIFS(Detalle!$G$2:$G$601,Detalle!$E$2:$E$601,A17))</f>
        <v/>
      </c>
      <c r="D17" s="11">
        <f>IF(A17="","",Datos!G13)</f>
        <v/>
      </c>
      <c r="E17" s="11">
        <f>IF(A17="","",C17*D17)</f>
        <v/>
      </c>
      <c r="F17" s="7">
        <f>IF(A17="","",SUMIFS(Detalle!$K$2:$K$601,Detalle!$E$2:$E$601,A17))</f>
        <v/>
      </c>
      <c r="G17" s="11">
        <f>IF(A17="","",F17*D17)</f>
        <v/>
      </c>
    </row>
    <row r="18">
      <c r="A18" s="7">
        <f>IF(Datos!E14="","",Datos!E14)</f>
        <v/>
      </c>
      <c r="B18" s="7">
        <f>IF(A18="","",Datos!F14)</f>
        <v/>
      </c>
      <c r="C18" s="7">
        <f>IF(A18="","",SUMIFS(Detalle!$G$2:$G$601,Detalle!$E$2:$E$601,A18))</f>
        <v/>
      </c>
      <c r="D18" s="11">
        <f>IF(A18="","",Datos!G14)</f>
        <v/>
      </c>
      <c r="E18" s="11">
        <f>IF(A18="","",C18*D18)</f>
        <v/>
      </c>
      <c r="F18" s="7">
        <f>IF(A18="","",SUMIFS(Detalle!$K$2:$K$601,Detalle!$E$2:$E$601,A18))</f>
        <v/>
      </c>
      <c r="G18" s="11">
        <f>IF(A18="","",F18*D18)</f>
        <v/>
      </c>
    </row>
    <row r="19">
      <c r="A19" s="7">
        <f>IF(Datos!E15="","",Datos!E15)</f>
        <v/>
      </c>
      <c r="B19" s="7">
        <f>IF(A19="","",Datos!F15)</f>
        <v/>
      </c>
      <c r="C19" s="7">
        <f>IF(A19="","",SUMIFS(Detalle!$G$2:$G$601,Detalle!$E$2:$E$601,A19))</f>
        <v/>
      </c>
      <c r="D19" s="11">
        <f>IF(A19="","",Datos!G15)</f>
        <v/>
      </c>
      <c r="E19" s="11">
        <f>IF(A19="","",C19*D19)</f>
        <v/>
      </c>
      <c r="F19" s="7">
        <f>IF(A19="","",SUMIFS(Detalle!$K$2:$K$601,Detalle!$E$2:$E$601,A19))</f>
        <v/>
      </c>
      <c r="G19" s="11">
        <f>IF(A19="","",F19*D19)</f>
        <v/>
      </c>
    </row>
    <row r="20">
      <c r="A20" s="7">
        <f>IF(Datos!E16="","",Datos!E16)</f>
        <v/>
      </c>
      <c r="B20" s="7">
        <f>IF(A20="","",Datos!F16)</f>
        <v/>
      </c>
      <c r="C20" s="7">
        <f>IF(A20="","",SUMIFS(Detalle!$G$2:$G$601,Detalle!$E$2:$E$601,A20))</f>
        <v/>
      </c>
      <c r="D20" s="11">
        <f>IF(A20="","",Datos!G16)</f>
        <v/>
      </c>
      <c r="E20" s="11">
        <f>IF(A20="","",C20*D20)</f>
        <v/>
      </c>
      <c r="F20" s="7">
        <f>IF(A20="","",SUMIFS(Detalle!$K$2:$K$601,Detalle!$E$2:$E$601,A20))</f>
        <v/>
      </c>
      <c r="G20" s="11">
        <f>IF(A20="","",F20*D20)</f>
        <v/>
      </c>
    </row>
    <row r="21">
      <c r="A21" s="7">
        <f>IF(Datos!E17="","",Datos!E17)</f>
        <v/>
      </c>
      <c r="B21" s="7">
        <f>IF(A21="","",Datos!F17)</f>
        <v/>
      </c>
      <c r="C21" s="7">
        <f>IF(A21="","",SUMIFS(Detalle!$G$2:$G$601,Detalle!$E$2:$E$601,A21))</f>
        <v/>
      </c>
      <c r="D21" s="11">
        <f>IF(A21="","",Datos!G17)</f>
        <v/>
      </c>
      <c r="E21" s="11">
        <f>IF(A21="","",C21*D21)</f>
        <v/>
      </c>
      <c r="F21" s="7">
        <f>IF(A21="","",SUMIFS(Detalle!$K$2:$K$601,Detalle!$E$2:$E$601,A21))</f>
        <v/>
      </c>
      <c r="G21" s="11">
        <f>IF(A21="","",F21*D21)</f>
        <v/>
      </c>
    </row>
    <row r="22">
      <c r="A22" s="7">
        <f>IF(Datos!E18="","",Datos!E18)</f>
        <v/>
      </c>
      <c r="B22" s="7">
        <f>IF(A22="","",Datos!F18)</f>
        <v/>
      </c>
      <c r="C22" s="7">
        <f>IF(A22="","",SUMIFS(Detalle!$G$2:$G$601,Detalle!$E$2:$E$601,A22))</f>
        <v/>
      </c>
      <c r="D22" s="11">
        <f>IF(A22="","",Datos!G18)</f>
        <v/>
      </c>
      <c r="E22" s="11">
        <f>IF(A22="","",C22*D22)</f>
        <v/>
      </c>
      <c r="F22" s="7">
        <f>IF(A22="","",SUMIFS(Detalle!$K$2:$K$601,Detalle!$E$2:$E$601,A22))</f>
        <v/>
      </c>
      <c r="G22" s="11">
        <f>IF(A22="","",F22*D22)</f>
        <v/>
      </c>
    </row>
    <row r="23">
      <c r="A23" s="7">
        <f>IF(Datos!E19="","",Datos!E19)</f>
        <v/>
      </c>
      <c r="B23" s="7">
        <f>IF(A23="","",Datos!F19)</f>
        <v/>
      </c>
      <c r="C23" s="7">
        <f>IF(A23="","",SUMIFS(Detalle!$G$2:$G$601,Detalle!$E$2:$E$601,A23))</f>
        <v/>
      </c>
      <c r="D23" s="11">
        <f>IF(A23="","",Datos!G19)</f>
        <v/>
      </c>
      <c r="E23" s="11">
        <f>IF(A23="","",C23*D23)</f>
        <v/>
      </c>
      <c r="F23" s="7">
        <f>IF(A23="","",SUMIFS(Detalle!$K$2:$K$601,Detalle!$E$2:$E$601,A23))</f>
        <v/>
      </c>
      <c r="G23" s="11">
        <f>IF(A23="","",F23*D23)</f>
        <v/>
      </c>
    </row>
    <row r="24">
      <c r="A24" s="7">
        <f>IF(Datos!E20="","",Datos!E20)</f>
        <v/>
      </c>
      <c r="B24" s="7">
        <f>IF(A24="","",Datos!F20)</f>
        <v/>
      </c>
      <c r="C24" s="7">
        <f>IF(A24="","",SUMIFS(Detalle!$G$2:$G$601,Detalle!$E$2:$E$601,A24))</f>
        <v/>
      </c>
      <c r="D24" s="11">
        <f>IF(A24="","",Datos!G20)</f>
        <v/>
      </c>
      <c r="E24" s="11">
        <f>IF(A24="","",C24*D24)</f>
        <v/>
      </c>
      <c r="F24" s="7">
        <f>IF(A24="","",SUMIFS(Detalle!$K$2:$K$601,Detalle!$E$2:$E$601,A24))</f>
        <v/>
      </c>
      <c r="G24" s="11">
        <f>IF(A24="","",F24*D24)</f>
        <v/>
      </c>
    </row>
    <row r="25">
      <c r="A25" s="7">
        <f>IF(Datos!E21="","",Datos!E21)</f>
        <v/>
      </c>
      <c r="B25" s="7">
        <f>IF(A25="","",Datos!F21)</f>
        <v/>
      </c>
      <c r="C25" s="7">
        <f>IF(A25="","",SUMIFS(Detalle!$G$2:$G$601,Detalle!$E$2:$E$601,A25))</f>
        <v/>
      </c>
      <c r="D25" s="11">
        <f>IF(A25="","",Datos!G21)</f>
        <v/>
      </c>
      <c r="E25" s="11">
        <f>IF(A25="","",C25*D25)</f>
        <v/>
      </c>
      <c r="F25" s="7">
        <f>IF(A25="","",SUMIFS(Detalle!$K$2:$K$601,Detalle!$E$2:$E$601,A25))</f>
        <v/>
      </c>
      <c r="G25" s="11">
        <f>IF(A25="","",F25*D25)</f>
        <v/>
      </c>
    </row>
    <row r="26">
      <c r="A26" s="7">
        <f>IF(Datos!E22="","",Datos!E22)</f>
        <v/>
      </c>
      <c r="B26" s="7">
        <f>IF(A26="","",Datos!F22)</f>
        <v/>
      </c>
      <c r="C26" s="7">
        <f>IF(A26="","",SUMIFS(Detalle!$G$2:$G$601,Detalle!$E$2:$E$601,A26))</f>
        <v/>
      </c>
      <c r="D26" s="11">
        <f>IF(A26="","",Datos!G22)</f>
        <v/>
      </c>
      <c r="E26" s="11">
        <f>IF(A26="","",C26*D26)</f>
        <v/>
      </c>
      <c r="F26" s="7">
        <f>IF(A26="","",SUMIFS(Detalle!$K$2:$K$601,Detalle!$E$2:$E$601,A26))</f>
        <v/>
      </c>
      <c r="G26" s="11">
        <f>IF(A26="","",F26*D26)</f>
        <v/>
      </c>
    </row>
    <row r="27">
      <c r="A27" s="6" t="inlineStr">
        <is>
          <t>Total</t>
        </is>
      </c>
      <c r="C27" s="12">
        <f>SUM(C12:C26)</f>
        <v/>
      </c>
      <c r="E27" s="12">
        <f>SUM(E12:E26)</f>
        <v/>
      </c>
      <c r="F27" s="12">
        <f>SUM(F12:F26)</f>
        <v/>
      </c>
      <c r="G27" s="12">
        <f>SUM(G12:G26)</f>
        <v/>
      </c>
    </row>
    <row r="30">
      <c r="A30" s="5" t="inlineStr">
        <is>
          <t>2. Horas por persona</t>
        </is>
      </c>
    </row>
    <row r="31" ht="25.5" customHeight="1">
      <c r="A31" s="10" t="inlineStr">
        <is>
          <t>Persona</t>
        </is>
      </c>
      <c r="B31" s="10" t="inlineStr">
        <is>
          <t>Perfil</t>
        </is>
      </c>
      <c r="C31" s="10" t="inlineStr">
        <is>
          <t>Horas</t>
        </is>
      </c>
      <c r="D31" s="10" t="inlineStr">
        <is>
          <t>Días con registro</t>
        </is>
      </c>
      <c r="E31" s="10" t="inlineStr">
        <is>
          <t>Promedio por día</t>
        </is>
      </c>
      <c r="F31" s="10" t="inlineStr">
        <is>
          <t>Horas sin descripción</t>
        </is>
      </c>
    </row>
    <row r="32">
      <c r="A32" s="7">
        <f>IF(Datos!A8="","",Datos!A8)</f>
        <v/>
      </c>
      <c r="B32" s="7">
        <f>IF(A32="","",Datos!B8)</f>
        <v/>
      </c>
      <c r="C32" s="7">
        <f>IF(A32="","",SUMIFS(Detalle!$G$2:$G$601,Detalle!$D$2:$D$601,A32))</f>
        <v/>
      </c>
      <c r="D32" s="13">
        <f>IF(A32="","",SUMIFS(Detalle!$M$2:$M$601,Detalle!$D$2:$D$601,A32))</f>
        <v/>
      </c>
      <c r="E32" s="7">
        <f>IF(OR(A32="",N(D32)=0),"",C32/D32)</f>
        <v/>
      </c>
      <c r="F32" s="7">
        <f>IF(A32="","",SUMPRODUCT((Detalle!$D$2:$D$601=A32)*ISNUMBER(SEARCH("Sin descripción",Detalle!$H$2:$H$601))*Detalle!$G$2:$G$601))</f>
        <v/>
      </c>
    </row>
    <row r="33">
      <c r="A33" s="7">
        <f>IF(Datos!A9="","",Datos!A9)</f>
        <v/>
      </c>
      <c r="B33" s="7">
        <f>IF(A33="","",Datos!B9)</f>
        <v/>
      </c>
      <c r="C33" s="7">
        <f>IF(A33="","",SUMIFS(Detalle!$G$2:$G$601,Detalle!$D$2:$D$601,A33))</f>
        <v/>
      </c>
      <c r="D33" s="13">
        <f>IF(A33="","",SUMIFS(Detalle!$M$2:$M$601,Detalle!$D$2:$D$601,A33))</f>
        <v/>
      </c>
      <c r="E33" s="7">
        <f>IF(OR(A33="",N(D33)=0),"",C33/D33)</f>
        <v/>
      </c>
      <c r="F33" s="7">
        <f>IF(A33="","",SUMPRODUCT((Detalle!$D$2:$D$601=A33)*ISNUMBER(SEARCH("Sin descripción",Detalle!$H$2:$H$601))*Detalle!$G$2:$G$601))</f>
        <v/>
      </c>
    </row>
    <row r="34">
      <c r="A34" s="7">
        <f>IF(Datos!A10="","",Datos!A10)</f>
        <v/>
      </c>
      <c r="B34" s="7">
        <f>IF(A34="","",Datos!B10)</f>
        <v/>
      </c>
      <c r="C34" s="7">
        <f>IF(A34="","",SUMIFS(Detalle!$G$2:$G$601,Detalle!$D$2:$D$601,A34))</f>
        <v/>
      </c>
      <c r="D34" s="13">
        <f>IF(A34="","",SUMIFS(Detalle!$M$2:$M$601,Detalle!$D$2:$D$601,A34))</f>
        <v/>
      </c>
      <c r="E34" s="7">
        <f>IF(OR(A34="",N(D34)=0),"",C34/D34)</f>
        <v/>
      </c>
      <c r="F34" s="7">
        <f>IF(A34="","",SUMPRODUCT((Detalle!$D$2:$D$601=A34)*ISNUMBER(SEARCH("Sin descripción",Detalle!$H$2:$H$601))*Detalle!$G$2:$G$601))</f>
        <v/>
      </c>
    </row>
    <row r="35">
      <c r="A35" s="7">
        <f>IF(Datos!A11="","",Datos!A11)</f>
        <v/>
      </c>
      <c r="B35" s="7">
        <f>IF(A35="","",Datos!B11)</f>
        <v/>
      </c>
      <c r="C35" s="7">
        <f>IF(A35="","",SUMIFS(Detalle!$G$2:$G$601,Detalle!$D$2:$D$601,A35))</f>
        <v/>
      </c>
      <c r="D35" s="13">
        <f>IF(A35="","",SUMIFS(Detalle!$M$2:$M$601,Detalle!$D$2:$D$601,A35))</f>
        <v/>
      </c>
      <c r="E35" s="7">
        <f>IF(OR(A35="",N(D35)=0),"",C35/D35)</f>
        <v/>
      </c>
      <c r="F35" s="7">
        <f>IF(A35="","",SUMPRODUCT((Detalle!$D$2:$D$601=A35)*ISNUMBER(SEARCH("Sin descripción",Detalle!$H$2:$H$601))*Detalle!$G$2:$G$601))</f>
        <v/>
      </c>
    </row>
    <row r="36">
      <c r="A36" s="7">
        <f>IF(Datos!A12="","",Datos!A12)</f>
        <v/>
      </c>
      <c r="B36" s="7">
        <f>IF(A36="","",Datos!B12)</f>
        <v/>
      </c>
      <c r="C36" s="7">
        <f>IF(A36="","",SUMIFS(Detalle!$G$2:$G$601,Detalle!$D$2:$D$601,A36))</f>
        <v/>
      </c>
      <c r="D36" s="13">
        <f>IF(A36="","",SUMIFS(Detalle!$M$2:$M$601,Detalle!$D$2:$D$601,A36))</f>
        <v/>
      </c>
      <c r="E36" s="7">
        <f>IF(OR(A36="",N(D36)=0),"",C36/D36)</f>
        <v/>
      </c>
      <c r="F36" s="7">
        <f>IF(A36="","",SUMPRODUCT((Detalle!$D$2:$D$601=A36)*ISNUMBER(SEARCH("Sin descripción",Detalle!$H$2:$H$601))*Detalle!$G$2:$G$601))</f>
        <v/>
      </c>
    </row>
    <row r="37">
      <c r="A37" s="7">
        <f>IF(Datos!A13="","",Datos!A13)</f>
        <v/>
      </c>
      <c r="B37" s="7">
        <f>IF(A37="","",Datos!B13)</f>
        <v/>
      </c>
      <c r="C37" s="7">
        <f>IF(A37="","",SUMIFS(Detalle!$G$2:$G$601,Detalle!$D$2:$D$601,A37))</f>
        <v/>
      </c>
      <c r="D37" s="13">
        <f>IF(A37="","",SUMIFS(Detalle!$M$2:$M$601,Detalle!$D$2:$D$601,A37))</f>
        <v/>
      </c>
      <c r="E37" s="7">
        <f>IF(OR(A37="",N(D37)=0),"",C37/D37)</f>
        <v/>
      </c>
      <c r="F37" s="7">
        <f>IF(A37="","",SUMPRODUCT((Detalle!$D$2:$D$601=A37)*ISNUMBER(SEARCH("Sin descripción",Detalle!$H$2:$H$601))*Detalle!$G$2:$G$601))</f>
        <v/>
      </c>
    </row>
    <row r="38">
      <c r="A38" s="7">
        <f>IF(Datos!A14="","",Datos!A14)</f>
        <v/>
      </c>
      <c r="B38" s="7">
        <f>IF(A38="","",Datos!B14)</f>
        <v/>
      </c>
      <c r="C38" s="7">
        <f>IF(A38="","",SUMIFS(Detalle!$G$2:$G$601,Detalle!$D$2:$D$601,A38))</f>
        <v/>
      </c>
      <c r="D38" s="13">
        <f>IF(A38="","",SUMIFS(Detalle!$M$2:$M$601,Detalle!$D$2:$D$601,A38))</f>
        <v/>
      </c>
      <c r="E38" s="7">
        <f>IF(OR(A38="",N(D38)=0),"",C38/D38)</f>
        <v/>
      </c>
      <c r="F38" s="7">
        <f>IF(A38="","",SUMPRODUCT((Detalle!$D$2:$D$601=A38)*ISNUMBER(SEARCH("Sin descripción",Detalle!$H$2:$H$601))*Detalle!$G$2:$G$601))</f>
        <v/>
      </c>
    </row>
    <row r="39">
      <c r="A39" s="7">
        <f>IF(Datos!A15="","",Datos!A15)</f>
        <v/>
      </c>
      <c r="B39" s="7">
        <f>IF(A39="","",Datos!B15)</f>
        <v/>
      </c>
      <c r="C39" s="7">
        <f>IF(A39="","",SUMIFS(Detalle!$G$2:$G$601,Detalle!$D$2:$D$601,A39))</f>
        <v/>
      </c>
      <c r="D39" s="13">
        <f>IF(A39="","",SUMIFS(Detalle!$M$2:$M$601,Detalle!$D$2:$D$601,A39))</f>
        <v/>
      </c>
      <c r="E39" s="7">
        <f>IF(OR(A39="",N(D39)=0),"",C39/D39)</f>
        <v/>
      </c>
      <c r="F39" s="7">
        <f>IF(A39="","",SUMPRODUCT((Detalle!$D$2:$D$601=A39)*ISNUMBER(SEARCH("Sin descripción",Detalle!$H$2:$H$601))*Detalle!$G$2:$G$601))</f>
        <v/>
      </c>
    </row>
    <row r="40">
      <c r="A40" s="7">
        <f>IF(Datos!A16="","",Datos!A16)</f>
        <v/>
      </c>
      <c r="B40" s="7">
        <f>IF(A40="","",Datos!B16)</f>
        <v/>
      </c>
      <c r="C40" s="7">
        <f>IF(A40="","",SUMIFS(Detalle!$G$2:$G$601,Detalle!$D$2:$D$601,A40))</f>
        <v/>
      </c>
      <c r="D40" s="13">
        <f>IF(A40="","",SUMIFS(Detalle!$M$2:$M$601,Detalle!$D$2:$D$601,A40))</f>
        <v/>
      </c>
      <c r="E40" s="7">
        <f>IF(OR(A40="",N(D40)=0),"",C40/D40)</f>
        <v/>
      </c>
      <c r="F40" s="7">
        <f>IF(A40="","",SUMPRODUCT((Detalle!$D$2:$D$601=A40)*ISNUMBER(SEARCH("Sin descripción",Detalle!$H$2:$H$601))*Detalle!$G$2:$G$601))</f>
        <v/>
      </c>
    </row>
    <row r="41">
      <c r="A41" s="7">
        <f>IF(Datos!A17="","",Datos!A17)</f>
        <v/>
      </c>
      <c r="B41" s="7">
        <f>IF(A41="","",Datos!B17)</f>
        <v/>
      </c>
      <c r="C41" s="7">
        <f>IF(A41="","",SUMIFS(Detalle!$G$2:$G$601,Detalle!$D$2:$D$601,A41))</f>
        <v/>
      </c>
      <c r="D41" s="13">
        <f>IF(A41="","",SUMIFS(Detalle!$M$2:$M$601,Detalle!$D$2:$D$601,A41))</f>
        <v/>
      </c>
      <c r="E41" s="7">
        <f>IF(OR(A41="",N(D41)=0),"",C41/D41)</f>
        <v/>
      </c>
      <c r="F41" s="7">
        <f>IF(A41="","",SUMPRODUCT((Detalle!$D$2:$D$601=A41)*ISNUMBER(SEARCH("Sin descripción",Detalle!$H$2:$H$601))*Detalle!$G$2:$G$601))</f>
        <v/>
      </c>
    </row>
    <row r="42">
      <c r="A42" s="7">
        <f>IF(Datos!A18="","",Datos!A18)</f>
        <v/>
      </c>
      <c r="B42" s="7">
        <f>IF(A42="","",Datos!B18)</f>
        <v/>
      </c>
      <c r="C42" s="7">
        <f>IF(A42="","",SUMIFS(Detalle!$G$2:$G$601,Detalle!$D$2:$D$601,A42))</f>
        <v/>
      </c>
      <c r="D42" s="13">
        <f>IF(A42="","",SUMIFS(Detalle!$M$2:$M$601,Detalle!$D$2:$D$601,A42))</f>
        <v/>
      </c>
      <c r="E42" s="7">
        <f>IF(OR(A42="",N(D42)=0),"",C42/D42)</f>
        <v/>
      </c>
      <c r="F42" s="7">
        <f>IF(A42="","",SUMPRODUCT((Detalle!$D$2:$D$601=A42)*ISNUMBER(SEARCH("Sin descripción",Detalle!$H$2:$H$601))*Detalle!$G$2:$G$601))</f>
        <v/>
      </c>
    </row>
    <row r="43">
      <c r="A43" s="7">
        <f>IF(Datos!A19="","",Datos!A19)</f>
        <v/>
      </c>
      <c r="B43" s="7">
        <f>IF(A43="","",Datos!B19)</f>
        <v/>
      </c>
      <c r="C43" s="7">
        <f>IF(A43="","",SUMIFS(Detalle!$G$2:$G$601,Detalle!$D$2:$D$601,A43))</f>
        <v/>
      </c>
      <c r="D43" s="13">
        <f>IF(A43="","",SUMIFS(Detalle!$M$2:$M$601,Detalle!$D$2:$D$601,A43))</f>
        <v/>
      </c>
      <c r="E43" s="7">
        <f>IF(OR(A43="",N(D43)=0),"",C43/D43)</f>
        <v/>
      </c>
      <c r="F43" s="7">
        <f>IF(A43="","",SUMPRODUCT((Detalle!$D$2:$D$601=A43)*ISNUMBER(SEARCH("Sin descripción",Detalle!$H$2:$H$601))*Detalle!$G$2:$G$601))</f>
        <v/>
      </c>
    </row>
    <row r="44">
      <c r="A44" s="7">
        <f>IF(Datos!A20="","",Datos!A20)</f>
        <v/>
      </c>
      <c r="B44" s="7">
        <f>IF(A44="","",Datos!B20)</f>
        <v/>
      </c>
      <c r="C44" s="7">
        <f>IF(A44="","",SUMIFS(Detalle!$G$2:$G$601,Detalle!$D$2:$D$601,A44))</f>
        <v/>
      </c>
      <c r="D44" s="13">
        <f>IF(A44="","",SUMIFS(Detalle!$M$2:$M$601,Detalle!$D$2:$D$601,A44))</f>
        <v/>
      </c>
      <c r="E44" s="7">
        <f>IF(OR(A44="",N(D44)=0),"",C44/D44)</f>
        <v/>
      </c>
      <c r="F44" s="7">
        <f>IF(A44="","",SUMPRODUCT((Detalle!$D$2:$D$601=A44)*ISNUMBER(SEARCH("Sin descripción",Detalle!$H$2:$H$601))*Detalle!$G$2:$G$601))</f>
        <v/>
      </c>
    </row>
    <row r="45">
      <c r="A45" s="7">
        <f>IF(Datos!A21="","",Datos!A21)</f>
        <v/>
      </c>
      <c r="B45" s="7">
        <f>IF(A45="","",Datos!B21)</f>
        <v/>
      </c>
      <c r="C45" s="7">
        <f>IF(A45="","",SUMIFS(Detalle!$G$2:$G$601,Detalle!$D$2:$D$601,A45))</f>
        <v/>
      </c>
      <c r="D45" s="13">
        <f>IF(A45="","",SUMIFS(Detalle!$M$2:$M$601,Detalle!$D$2:$D$601,A45))</f>
        <v/>
      </c>
      <c r="E45" s="7">
        <f>IF(OR(A45="",N(D45)=0),"",C45/D45)</f>
        <v/>
      </c>
      <c r="F45" s="7">
        <f>IF(A45="","",SUMPRODUCT((Detalle!$D$2:$D$601=A45)*ISNUMBER(SEARCH("Sin descripción",Detalle!$H$2:$H$601))*Detalle!$G$2:$G$601))</f>
        <v/>
      </c>
    </row>
    <row r="46">
      <c r="A46" s="7">
        <f>IF(Datos!A22="","",Datos!A22)</f>
        <v/>
      </c>
      <c r="B46" s="7">
        <f>IF(A46="","",Datos!B22)</f>
        <v/>
      </c>
      <c r="C46" s="7">
        <f>IF(A46="","",SUMIFS(Detalle!$G$2:$G$601,Detalle!$D$2:$D$601,A46))</f>
        <v/>
      </c>
      <c r="D46" s="13">
        <f>IF(A46="","",SUMIFS(Detalle!$M$2:$M$601,Detalle!$D$2:$D$601,A46))</f>
        <v/>
      </c>
      <c r="E46" s="7">
        <f>IF(OR(A46="",N(D46)=0),"",C46/D46)</f>
        <v/>
      </c>
      <c r="F46" s="7">
        <f>IF(A46="","",SUMPRODUCT((Detalle!$D$2:$D$601=A46)*ISNUMBER(SEARCH("Sin descripción",Detalle!$H$2:$H$601))*Detalle!$G$2:$G$601))</f>
        <v/>
      </c>
    </row>
    <row r="47">
      <c r="A47" s="6" t="inlineStr">
        <is>
          <t>Total</t>
        </is>
      </c>
      <c r="C47" s="14">
        <f>SUM(C32:C46)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10" defaultColWidth="9.140625" defaultRowHeight="15"/>
  <cols>
    <col width="30" customWidth="1" min="1" max="1"/>
    <col width="18" customWidth="1" min="2" max="2"/>
    <col width="20" customWidth="1" min="3" max="3"/>
    <col width="4" customWidth="1" min="4" max="4"/>
    <col width="18" customWidth="1" min="5" max="5"/>
    <col width="34" customWidth="1" min="6" max="6"/>
    <col width="12" customWidth="1" min="7" max="7"/>
  </cols>
  <sheetData>
    <row r="1" ht="15.75" customHeight="1">
      <c r="A1" s="15" t="inlineStr">
        <is>
          <t>Datos del período</t>
        </is>
      </c>
    </row>
    <row r="2">
      <c r="A2" s="6" t="inlineStr">
        <is>
          <t>Período (mes y año)</t>
        </is>
      </c>
      <c r="B2" s="16" t="inlineStr">
        <is>
          <t>Agosto 2026</t>
        </is>
      </c>
    </row>
    <row r="3">
      <c r="A3" s="6" t="inlineStr">
        <is>
          <t>Contrato de fecha</t>
        </is>
      </c>
      <c r="B3" s="16" t="inlineStr">
        <is>
          <t>[DD/MM/AAAA]</t>
        </is>
      </c>
    </row>
    <row r="4">
      <c r="A4" s="6" t="inlineStr">
        <is>
          <t>Proveedor</t>
        </is>
      </c>
      <c r="B4" s="16" t="inlineStr">
        <is>
          <t>KLG</t>
        </is>
      </c>
    </row>
    <row r="6" ht="15.75" customHeight="1">
      <c r="A6" s="15" t="inlineStr">
        <is>
          <t>Equipo</t>
        </is>
      </c>
      <c r="E6" s="15" t="inlineStr">
        <is>
          <t>Valor hora por proyecto</t>
        </is>
      </c>
    </row>
    <row r="7" ht="25.5" customHeight="1">
      <c r="A7" s="10" t="inlineStr">
        <is>
          <t>Persona (igual que en Kimai)</t>
        </is>
      </c>
      <c r="B7" s="10" t="inlineStr">
        <is>
          <t>Perfil</t>
        </is>
      </c>
      <c r="C7" s="10" t="inlineStr">
        <is>
          <t>Usuario Kimai</t>
        </is>
      </c>
      <c r="E7" s="10" t="inlineStr">
        <is>
          <t>Proyecto (igual que en Kimai)</t>
        </is>
      </c>
      <c r="F7" s="10" t="inlineStr">
        <is>
          <t>Cliente</t>
        </is>
      </c>
      <c r="G7" s="10" t="inlineStr">
        <is>
          <t>Valor hora</t>
        </is>
      </c>
    </row>
    <row r="8">
      <c r="A8" s="16" t="inlineStr">
        <is>
          <t>Alexis Carnero</t>
        </is>
      </c>
      <c r="B8" s="16" t="inlineStr">
        <is>
          <t>Desarrollador</t>
        </is>
      </c>
      <c r="C8" s="16" t="inlineStr">
        <is>
          <t>acarnero</t>
        </is>
      </c>
      <c r="E8" s="16" t="inlineStr">
        <is>
          <t>SELICO</t>
        </is>
      </c>
      <c r="F8" s="16" t="inlineStr">
        <is>
          <t>MINVU</t>
        </is>
      </c>
      <c r="G8" s="17" t="n">
        <v>17</v>
      </c>
    </row>
    <row r="9">
      <c r="A9" s="16" t="inlineStr">
        <is>
          <t>Franco Dodera</t>
        </is>
      </c>
      <c r="B9" s="16" t="inlineStr">
        <is>
          <t>Desarrollador</t>
        </is>
      </c>
      <c r="C9" s="16" t="inlineStr">
        <is>
          <t>franco</t>
        </is>
      </c>
      <c r="E9" s="16" t="inlineStr">
        <is>
          <t>Subastas</t>
        </is>
      </c>
      <c r="F9" s="16" t="inlineStr">
        <is>
          <t>Servicio Nacional de Aduanas</t>
        </is>
      </c>
      <c r="G9" s="17" t="n">
        <v>20</v>
      </c>
    </row>
    <row r="10">
      <c r="A10" s="16" t="inlineStr">
        <is>
          <t>Matias Zalazar</t>
        </is>
      </c>
      <c r="B10" s="16" t="inlineStr">
        <is>
          <t>Desarrollador</t>
        </is>
      </c>
      <c r="C10" s="16" t="inlineStr">
        <is>
          <t>mzalazar</t>
        </is>
      </c>
      <c r="E10" s="16" t="inlineStr">
        <is>
          <t>SIAC-OIRS</t>
        </is>
      </c>
      <c r="F10" s="16" t="inlineStr">
        <is>
          <t>Instituto de Salud Pública de Chile</t>
        </is>
      </c>
      <c r="G10" s="17" t="n">
        <v>20</v>
      </c>
    </row>
    <row r="11">
      <c r="A11" s="16" t="inlineStr">
        <is>
          <t>Lautaro Zalazar</t>
        </is>
      </c>
      <c r="B11" s="16" t="inlineStr">
        <is>
          <t>Desarrollador</t>
        </is>
      </c>
      <c r="C11" s="16" t="inlineStr">
        <is>
          <t>lzalazar</t>
        </is>
      </c>
      <c r="E11" s="16" t="inlineStr">
        <is>
          <t>VictoriusCP2</t>
        </is>
      </c>
      <c r="F11" s="16" t="inlineStr">
        <is>
          <t>C.UNIX</t>
        </is>
      </c>
      <c r="G11" s="17" t="n">
        <v>17</v>
      </c>
    </row>
    <row r="12">
      <c r="A12" s="16" t="inlineStr">
        <is>
          <t>Luciano Carducci</t>
        </is>
      </c>
      <c r="B12" s="16" t="inlineStr">
        <is>
          <t>Desarrollador</t>
        </is>
      </c>
      <c r="C12" s="16" t="inlineStr">
        <is>
          <t>lcarducci</t>
        </is>
      </c>
      <c r="E12" s="16" t="inlineStr">
        <is>
          <t>Victorius 3</t>
        </is>
      </c>
      <c r="F12" s="16" t="inlineStr">
        <is>
          <t>C.UNIX</t>
        </is>
      </c>
      <c r="G12" s="17" t="n">
        <v>17</v>
      </c>
    </row>
    <row r="13">
      <c r="A13" s="16" t="inlineStr">
        <is>
          <t>Gabriel Denis</t>
        </is>
      </c>
      <c r="B13" s="16" t="inlineStr">
        <is>
          <t>Desarrollador</t>
        </is>
      </c>
      <c r="C13" s="16" t="n"/>
      <c r="E13" s="16" t="n"/>
      <c r="F13" s="16" t="n"/>
      <c r="G13" s="17" t="n"/>
    </row>
    <row r="14">
      <c r="A14" s="16" t="n"/>
      <c r="B14" s="16" t="n"/>
      <c r="C14" s="16" t="n"/>
      <c r="E14" s="16" t="n"/>
      <c r="F14" s="16" t="n"/>
      <c r="G14" s="17" t="n"/>
    </row>
    <row r="15">
      <c r="A15" s="16" t="n"/>
      <c r="B15" s="16" t="n"/>
      <c r="C15" s="16" t="n"/>
      <c r="E15" s="16" t="n"/>
      <c r="F15" s="16" t="n"/>
      <c r="G15" s="17" t="n"/>
    </row>
    <row r="16">
      <c r="A16" s="16" t="n"/>
      <c r="B16" s="16" t="n"/>
      <c r="C16" s="16" t="n"/>
      <c r="E16" s="16" t="n"/>
      <c r="F16" s="16" t="n"/>
      <c r="G16" s="17" t="n"/>
    </row>
    <row r="17">
      <c r="A17" s="16" t="n"/>
      <c r="B17" s="16" t="n"/>
      <c r="C17" s="16" t="n"/>
      <c r="E17" s="16" t="n"/>
      <c r="F17" s="16" t="n"/>
      <c r="G17" s="17" t="n"/>
    </row>
    <row r="18">
      <c r="A18" s="16" t="n"/>
      <c r="B18" s="16" t="n"/>
      <c r="C18" s="16" t="n"/>
      <c r="E18" s="16" t="n"/>
      <c r="F18" s="16" t="n"/>
      <c r="G18" s="17" t="n"/>
    </row>
    <row r="19">
      <c r="A19" s="16" t="n"/>
      <c r="B19" s="16" t="n"/>
      <c r="C19" s="16" t="n"/>
      <c r="E19" s="16" t="n"/>
      <c r="F19" s="16" t="n"/>
      <c r="G19" s="17" t="n"/>
    </row>
    <row r="20">
      <c r="A20" s="16" t="n"/>
      <c r="B20" s="16" t="n"/>
      <c r="C20" s="16" t="n"/>
      <c r="E20" s="16" t="n"/>
      <c r="F20" s="16" t="n"/>
      <c r="G20" s="17" t="n"/>
    </row>
    <row r="21">
      <c r="A21" s="16" t="n"/>
      <c r="B21" s="16" t="n"/>
      <c r="C21" s="16" t="n"/>
      <c r="E21" s="16" t="n"/>
      <c r="F21" s="16" t="n"/>
      <c r="G21" s="17" t="n"/>
    </row>
    <row r="22">
      <c r="A22" s="16" t="n"/>
      <c r="B22" s="16" t="n"/>
      <c r="C22" s="16" t="n"/>
      <c r="E22" s="16" t="n"/>
      <c r="F22" s="16" t="n"/>
      <c r="G22" s="17" t="n"/>
    </row>
    <row r="24">
      <c r="E24" s="9" t="inlineStr">
        <is>
          <t>Valores hora tomados del informe de agosto 2026: confirmar contra el contrato.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01"/>
  <sheetViews>
    <sheetView workbookViewId="0">
      <pane ySplit="1" topLeftCell="A2" activePane="bottomLeft" state="frozen"/>
      <selection pane="bottomLeft" activeCell="A1" sqref="A1"/>
    </sheetView>
  </sheetViews>
  <sheetFormatPr baseColWidth="10" defaultColWidth="9.140625" defaultRowHeight="15"/>
  <cols>
    <col width="11" customWidth="1" min="1" max="1"/>
    <col width="7" customWidth="1" min="2" max="3"/>
    <col width="20" customWidth="1" min="4" max="4"/>
    <col width="14" customWidth="1" min="5" max="5"/>
    <col width="60" customWidth="1" min="6" max="6"/>
    <col width="7" customWidth="1" min="7" max="7"/>
    <col width="30" customWidth="1" min="8" max="8"/>
    <col width="13" customWidth="1" min="9" max="9"/>
    <col width="10" customWidth="1" min="10" max="10"/>
    <col width="9" customWidth="1" min="11" max="11"/>
    <col width="34" customWidth="1" min="12" max="12"/>
    <col width="8" customWidth="1" min="13" max="13"/>
    <col width="60" customWidth="1" min="14" max="14"/>
  </cols>
  <sheetData>
    <row r="1" ht="32.1" customHeight="1">
      <c r="A1" s="10" t="inlineStr">
        <is>
          <t>Fecha</t>
        </is>
      </c>
      <c r="B1" s="10" t="inlineStr">
        <is>
          <t>Inicio</t>
        </is>
      </c>
      <c r="C1" s="10" t="inlineStr">
        <is>
          <t>Fin</t>
        </is>
      </c>
      <c r="D1" s="10" t="inlineStr">
        <is>
          <t>Persona</t>
        </is>
      </c>
      <c r="E1" s="10" t="inlineStr">
        <is>
          <t>Proyecto</t>
        </is>
      </c>
      <c r="F1" s="10" t="inlineStr">
        <is>
          <t>Descripción (ticket – qué se hizo)</t>
        </is>
      </c>
      <c r="G1" s="10" t="inlineStr">
        <is>
          <t>Horas</t>
        </is>
      </c>
      <c r="H1" s="10" t="inlineStr">
        <is>
          <t>Alertas</t>
        </is>
      </c>
      <c r="I1" s="18" t="inlineStr">
        <is>
          <t>Revisión C.UNIX</t>
        </is>
      </c>
      <c r="J1" s="18" t="inlineStr">
        <is>
          <t>Horas aprobadas</t>
        </is>
      </c>
      <c r="K1" s="10" t="inlineStr">
        <is>
          <t>Horas a pagar</t>
        </is>
      </c>
      <c r="L1" s="18" t="inlineStr">
        <is>
          <t>Observación C.UNIX</t>
        </is>
      </c>
      <c r="M1" s="19" t="inlineStr">
        <is>
          <t>Día nuevo (cálculo)</t>
        </is>
      </c>
      <c r="N1" s="19" t="inlineStr">
        <is>
          <t>Nota KLG</t>
        </is>
      </c>
    </row>
    <row r="2">
      <c r="A2" s="32" t="n">
        <v>46236</v>
      </c>
      <c r="B2" s="33" t="n">
        <v>0.34375</v>
      </c>
      <c r="C2" s="33" t="n">
        <v>0.4270833333333333</v>
      </c>
      <c r="D2" s="34" t="inlineStr">
        <is>
          <t>Gabriel Denis</t>
        </is>
      </c>
      <c r="E2" s="34" t="inlineStr">
        <is>
          <t>SELICO</t>
        </is>
      </c>
      <c r="F2" s="35" t="inlineStr">
        <is>
          <t>Revisión final manual: comentarios Word residuales</t>
        </is>
      </c>
      <c r="G2" s="36" t="n">
        <v>2</v>
      </c>
      <c r="H2" s="20">
        <f>IF(A2="","",TRIM(IF(WEEKDAY(A2,2)&gt;5,"Fin de semana. ","")&amp;IF(SUMIFS($G$2:$G$601,$A$2:$A$601,A2,$D$2:$D$601,D2)&gt;9,"Más de 9 h en el día. ","")&amp;IF(AND(B2&lt;&gt;"",C2&lt;&gt;"",C2&lt;B2),"Cruza la medianoche. ","")&amp;IF(LEN(TRIM(F2))&lt;15,"Sin descripción suficiente. ","")&amp;IF(AND(ISERROR(SEARCH("R-0",F2)),ISERROR(SEARCH("CU-",F2))),"Sin ticket. ","")&amp;IF(ISNA(MATCH(E2,Datos!$E$8:$E$22,0)),"Proyecto sin valor hora. ","")&amp;IF(ISNA(MATCH(D2,Datos!$A$8:$A$22,0)),"Persona fuera del equipo. ","")))</f>
        <v/>
      </c>
      <c r="I2" s="21" t="n"/>
      <c r="J2" s="22" t="n"/>
      <c r="K2" s="23">
        <f>IF(G2="","",IF(J2&lt;&gt;"",MIN(J2,G2),IF(OR(I2="Observada",I2="Rechazada"),0,G2)))</f>
        <v/>
      </c>
      <c r="L2" s="24" t="n"/>
      <c r="M2" s="25">
        <f>IF(OR(A2="",D2=""),0,IF(COUNTIFS($A$2:A2,A2,$D$2:D2,D2)=1,1,0))</f>
        <v/>
      </c>
      <c r="N2" t="inlineStr">
        <is>
          <t>Dia completo de Gabriel Denis, que no tiene usuario de Kimai. Se conserva el horario del bloque original registrado en la cuenta de Alexis Carnero.</t>
        </is>
      </c>
    </row>
    <row r="3">
      <c r="A3" s="32" t="n">
        <v>46237</v>
      </c>
      <c r="B3" s="33" t="n">
        <v>0.34375</v>
      </c>
      <c r="C3" s="33" t="n">
        <v>0.6770833333333334</v>
      </c>
      <c r="D3" s="34" t="inlineStr">
        <is>
          <t>Alexis Carnero</t>
        </is>
      </c>
      <c r="E3" s="34" t="inlineStr">
        <is>
          <t>SELICO</t>
        </is>
      </c>
      <c r="F3" s="35" t="inlineStr">
        <is>
          <t>Reunión "Revisión de Pendientes de Sprints 8, 9 y 10 para aprobar Hito 2" (1,5 h). Análisis del bug del Certificado de Inscripción Vigente en Test (crea_tramite.aspx / DLL Chequeo_Vigencia, RUT 76000001-9): se descarta problema de código y se acota a datos faltantes del inscrito. Entrega de 6 componentes ASP y 1 script SQL con el fix de FECHAENVIOEXTRANET y Antecedentes. Gestión de acceso al repositorio Azure de la API. Despliegue en desarrollo de la API con los parámetros @ICR_FEC_ENV_EXT y @ICR_NUM_FOL_SOL (Req17).</t>
        </is>
      </c>
      <c r="G3" s="36" t="n">
        <v>8</v>
      </c>
      <c r="H3" s="20">
        <f>IF(A3="","",TRIM(IF(WEEKDAY(A3,2)&gt;5,"Fin de semana. ","")&amp;IF(SUMIFS($G$2:$G$601,$A$2:$A$601,A3,$D$2:$D$601,D3)&gt;9,"Más de 9 h en el día. ","")&amp;IF(AND(B3&lt;&gt;"",C3&lt;&gt;"",C3&lt;B3),"Cruza la medianoche. ","")&amp;IF(LEN(TRIM(F3))&lt;15,"Sin descripción suficiente. ","")&amp;IF(AND(ISERROR(SEARCH("R-0",F3)),ISERROR(SEARCH("CU-",F3))),"Sin ticket. ","")&amp;IF(ISNA(MATCH(E3,Datos!$E$8:$E$22,0)),"Proyecto sin valor hora. ","")&amp;IF(ISNA(MATCH(D3,Datos!$A$8:$A$22,0)),"Persona fuera del equipo. ","")))</f>
        <v/>
      </c>
      <c r="I3" s="21" t="n"/>
      <c r="J3" s="22" t="n"/>
      <c r="K3" s="23">
        <f>IF(G3="","",IF(J3&lt;&gt;"",MIN(J3,G3),IF(OR(I3="Observada",I3="Rechazada"),0,G3)))</f>
        <v/>
      </c>
      <c r="L3" s="24" t="n"/>
      <c r="M3" s="25">
        <f>IF(OR(A3="",D3=""),0,IF(COUNTIFS($A$2:A3,A3,$D$2:D3,D3)=1,1,0))</f>
        <v/>
      </c>
    </row>
    <row r="4">
      <c r="A4" s="26" t="n">
        <v>46237</v>
      </c>
      <c r="B4" s="27" t="n">
        <v>0.5</v>
      </c>
      <c r="C4" s="27" t="n">
        <v>0.6666666666666666</v>
      </c>
      <c r="D4" s="28" t="inlineStr">
        <is>
          <t>Franco Dodera</t>
        </is>
      </c>
      <c r="E4" s="28" t="inlineStr">
        <is>
          <t>SELICO</t>
        </is>
      </c>
      <c r="F4" s="29" t="inlineStr">
        <is>
          <t>Solucion de bug, mas verificacion y reunion</t>
        </is>
      </c>
      <c r="G4" s="30" t="n">
        <v>4</v>
      </c>
      <c r="H4" s="20">
        <f>IF(A4="","",TRIM(IF(WEEKDAY(A4,2)&gt;5,"Fin de semana. ","")&amp;IF(SUMIFS($G$2:$G$601,$A$2:$A$601,A4,$D$2:$D$601,D4)&gt;9,"Más de 9 h en el día. ","")&amp;IF(AND(B4&lt;&gt;"",C4&lt;&gt;"",C4&lt;B4),"Cruza la medianoche. ","")&amp;IF(LEN(TRIM(F4))&lt;15,"Sin descripción suficiente. ","")&amp;IF(AND(ISERROR(SEARCH("R-0",F4)),ISERROR(SEARCH("CU-",F4))),"Sin ticket. ","")&amp;IF(ISNA(MATCH(E4,Datos!$E$8:$E$22,0)),"Proyecto sin valor hora. ","")&amp;IF(ISNA(MATCH(D4,Datos!$A$8:$A$22,0)),"Persona fuera del equipo. ","")))</f>
        <v/>
      </c>
      <c r="I4" s="21" t="n"/>
      <c r="J4" s="22" t="n"/>
      <c r="K4" s="23">
        <f>IF(G4="","",IF(J4&lt;&gt;"",MIN(J4,G4),IF(OR(I4="Observada",I4="Rechazada"),0,G4)))</f>
        <v/>
      </c>
      <c r="L4" s="24" t="n"/>
      <c r="M4" s="25">
        <f>IF(OR(A4="",D4=""),0,IF(COUNTIFS($A$2:A4,A4,$D$2:D4,D4)=1,1,0))</f>
        <v/>
      </c>
    </row>
    <row r="5">
      <c r="A5" s="26" t="n">
        <v>46237</v>
      </c>
      <c r="B5" s="27" t="n">
        <v>0.6666666666666666</v>
      </c>
      <c r="C5" s="27" t="n">
        <v>0.6875</v>
      </c>
      <c r="D5" s="28" t="inlineStr">
        <is>
          <t>Lautaro Zalazar</t>
        </is>
      </c>
      <c r="E5" s="28" t="inlineStr">
        <is>
          <t>Victorius 3</t>
        </is>
      </c>
      <c r="F5" s="29" t="inlineStr">
        <is>
          <t>Coordinación nuevo proyecto gobierno de córdoba</t>
        </is>
      </c>
      <c r="G5" s="30" t="n">
        <v>0.5</v>
      </c>
      <c r="H5" s="20">
        <f>IF(A5="","",TRIM(IF(WEEKDAY(A5,2)&gt;5,"Fin de semana. ","")&amp;IF(SUMIFS($G$2:$G$601,$A$2:$A$601,A5,$D$2:$D$601,D5)&gt;9,"Más de 9 h en el día. ","")&amp;IF(AND(B5&lt;&gt;"",C5&lt;&gt;"",C5&lt;B5),"Cruza la medianoche. ","")&amp;IF(LEN(TRIM(F5))&lt;15,"Sin descripción suficiente. ","")&amp;IF(AND(ISERROR(SEARCH("R-0",F5)),ISERROR(SEARCH("CU-",F5))),"Sin ticket. ","")&amp;IF(ISNA(MATCH(E5,Datos!$E$8:$E$22,0)),"Proyecto sin valor hora. ","")&amp;IF(ISNA(MATCH(D5,Datos!$A$8:$A$22,0)),"Persona fuera del equipo. ","")))</f>
        <v/>
      </c>
      <c r="I5" s="21" t="n"/>
      <c r="J5" s="22" t="n"/>
      <c r="K5" s="23">
        <f>IF(G5="","",IF(J5&lt;&gt;"",MIN(J5,G5),IF(OR(I5="Observada",I5="Rechazada"),0,G5)))</f>
        <v/>
      </c>
      <c r="L5" s="24" t="n"/>
      <c r="M5" s="25">
        <f>IF(OR(A5="",D5=""),0,IF(COUNTIFS($A$2:A5,A5,$D$2:D5,D5)=1,1,0))</f>
        <v/>
      </c>
    </row>
    <row r="6">
      <c r="A6" s="26" t="n">
        <v>46237</v>
      </c>
      <c r="B6" s="27" t="n">
        <v>0.6666666666666666</v>
      </c>
      <c r="C6" s="27" t="n">
        <v>0.6875</v>
      </c>
      <c r="D6" s="28" t="inlineStr">
        <is>
          <t>Luciano Carducci</t>
        </is>
      </c>
      <c r="E6" s="28" t="inlineStr">
        <is>
          <t>VictoriusCP2</t>
        </is>
      </c>
      <c r="F6" s="29" t="inlineStr">
        <is>
          <t>meet VCP3 Gob Cba.</t>
        </is>
      </c>
      <c r="G6" s="30" t="n">
        <v>0.5</v>
      </c>
      <c r="H6" s="20">
        <f>IF(A6="","",TRIM(IF(WEEKDAY(A6,2)&gt;5,"Fin de semana. ","")&amp;IF(SUMIFS($G$2:$G$601,$A$2:$A$601,A6,$D$2:$D$601,D6)&gt;9,"Más de 9 h en el día. ","")&amp;IF(AND(B6&lt;&gt;"",C6&lt;&gt;"",C6&lt;B6),"Cruza la medianoche. ","")&amp;IF(LEN(TRIM(F6))&lt;15,"Sin descripción suficiente. ","")&amp;IF(AND(ISERROR(SEARCH("R-0",F6)),ISERROR(SEARCH("CU-",F6))),"Sin ticket. ","")&amp;IF(ISNA(MATCH(E6,Datos!$E$8:$E$22,0)),"Proyecto sin valor hora. ","")&amp;IF(ISNA(MATCH(D6,Datos!$A$8:$A$22,0)),"Persona fuera del equipo. ","")))</f>
        <v/>
      </c>
      <c r="I6" s="21" t="n"/>
      <c r="J6" s="22" t="n"/>
      <c r="K6" s="23">
        <f>IF(G6="","",IF(J6&lt;&gt;"",MIN(J6,G6),IF(OR(I6="Observada",I6="Rechazada"),0,G6)))</f>
        <v/>
      </c>
      <c r="L6" s="24" t="n"/>
      <c r="M6" s="25">
        <f>IF(OR(A6="",D6=""),0,IF(COUNTIFS($A$2:A6,A6,$D$2:D6,D6)=1,1,0))</f>
        <v/>
      </c>
    </row>
    <row r="7">
      <c r="A7" s="26" t="n">
        <v>46237</v>
      </c>
      <c r="B7" s="27" t="n">
        <v>0.3333333333333333</v>
      </c>
      <c r="C7" s="27" t="n">
        <v>0.7083333333333334</v>
      </c>
      <c r="D7" s="28" t="inlineStr">
        <is>
          <t>Matias Zalazar</t>
        </is>
      </c>
      <c r="E7" s="28" t="inlineStr">
        <is>
          <t>Subastas</t>
        </is>
      </c>
      <c r="F7" s="29" t="inlineStr">
        <is>
          <t>Mejoras pagador linkify</t>
        </is>
      </c>
      <c r="G7" s="30" t="n">
        <v>9</v>
      </c>
      <c r="H7" s="20">
        <f>IF(A7="","",TRIM(IF(WEEKDAY(A7,2)&gt;5,"Fin de semana. ","")&amp;IF(SUMIFS($G$2:$G$601,$A$2:$A$601,A7,$D$2:$D$601,D7)&gt;9,"Más de 9 h en el día. ","")&amp;IF(AND(B7&lt;&gt;"",C7&lt;&gt;"",C7&lt;B7),"Cruza la medianoche. ","")&amp;IF(LEN(TRIM(F7))&lt;15,"Sin descripción suficiente. ","")&amp;IF(AND(ISERROR(SEARCH("R-0",F7)),ISERROR(SEARCH("CU-",F7))),"Sin ticket. ","")&amp;IF(ISNA(MATCH(E7,Datos!$E$8:$E$22,0)),"Proyecto sin valor hora. ","")&amp;IF(ISNA(MATCH(D7,Datos!$A$8:$A$22,0)),"Persona fuera del equipo. ","")))</f>
        <v/>
      </c>
      <c r="I7" s="21" t="n"/>
      <c r="J7" s="22" t="n"/>
      <c r="K7" s="23">
        <f>IF(G7="","",IF(J7&lt;&gt;"",MIN(J7,G7),IF(OR(I7="Observada",I7="Rechazada"),0,G7)))</f>
        <v/>
      </c>
      <c r="L7" s="24" t="n"/>
      <c r="M7" s="25">
        <f>IF(OR(A7="",D7=""),0,IF(COUNTIFS($A$2:A7,A7,$D$2:D7,D7)=1,1,0))</f>
        <v/>
      </c>
    </row>
    <row r="8">
      <c r="A8" s="26" t="n">
        <v>46238</v>
      </c>
      <c r="B8" s="27" t="n">
        <v>0.34375</v>
      </c>
      <c r="C8" s="27" t="n">
        <v>0.6354166666666666</v>
      </c>
      <c r="D8" s="28" t="inlineStr">
        <is>
          <t>Alexis Carnero</t>
        </is>
      </c>
      <c r="E8" s="28" t="inlineStr">
        <is>
          <t>SELICO</t>
        </is>
      </c>
      <c r="F8" s="29" t="inlineStr">
        <is>
          <t>Reunión "Revisión de Últimos Reparos Pendientes" (1 h). Identificación de la causa raíz del bug de emisión de certificado: faltaba el domicilio de casa matriz en la tabla DIRECCION. Relevamiento con SQL Profiler de los datos obligatorios para emitir el Certificado de Vigencia desde Trámites en Línea. Seguimiento de subespecialidades de socios en consulta por duplicidad y del cálculo de vencimiento en sanciones.</t>
        </is>
      </c>
      <c r="G8" s="30" t="n">
        <v>7</v>
      </c>
      <c r="H8" s="20">
        <f>IF(A8="","",TRIM(IF(WEEKDAY(A8,2)&gt;5,"Fin de semana. ","")&amp;IF(SUMIFS($G$2:$G$601,$A$2:$A$601,A8,$D$2:$D$601,D8)&gt;9,"Más de 9 h en el día. ","")&amp;IF(AND(B8&lt;&gt;"",C8&lt;&gt;"",C8&lt;B8),"Cruza la medianoche. ","")&amp;IF(LEN(TRIM(F8))&lt;15,"Sin descripción suficiente. ","")&amp;IF(AND(ISERROR(SEARCH("R-0",F8)),ISERROR(SEARCH("CU-",F8))),"Sin ticket. ","")&amp;IF(ISNA(MATCH(E8,Datos!$E$8:$E$22,0)),"Proyecto sin valor hora. ","")&amp;IF(ISNA(MATCH(D8,Datos!$A$8:$A$22,0)),"Persona fuera del equipo. ","")))</f>
        <v/>
      </c>
      <c r="I8" s="21" t="n"/>
      <c r="J8" s="22" t="n"/>
      <c r="K8" s="23">
        <f>IF(G8="","",IF(J8&lt;&gt;"",MIN(J8,G8),IF(OR(I8="Observada",I8="Rechazada"),0,G8)))</f>
        <v/>
      </c>
      <c r="L8" s="24" t="n"/>
      <c r="M8" s="25">
        <f>IF(OR(A8="",D8=""),0,IF(COUNTIFS($A$2:A8,A8,$D$2:D8,D8)=1,1,0))</f>
        <v/>
      </c>
      <c r="N8"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9" ht="25.5" customHeight="1">
      <c r="A9" s="26" t="n">
        <v>46238</v>
      </c>
      <c r="B9" s="27" t="n">
        <v>0.6041666666666666</v>
      </c>
      <c r="C9" s="27" t="n">
        <v>0.75</v>
      </c>
      <c r="D9" s="28" t="inlineStr">
        <is>
          <t>Franco Dodera</t>
        </is>
      </c>
      <c r="E9" s="28" t="inlineStr">
        <is>
          <t>SELICO</t>
        </is>
      </c>
      <c r="F9" s="29" t="inlineStr">
        <is>
          <t>Nuevo pedido del usuario en planilla calculo experiencia, se agrego la posibilidad de distinguir nuevo y antiguo decreto por subespecialidad</t>
        </is>
      </c>
      <c r="G9" s="30" t="n">
        <v>3.5</v>
      </c>
      <c r="H9" s="20">
        <f>IF(A9="","",TRIM(IF(WEEKDAY(A9,2)&gt;5,"Fin de semana. ","")&amp;IF(SUMIFS($G$2:$G$601,$A$2:$A$601,A9,$D$2:$D$601,D9)&gt;9,"Más de 9 h en el día. ","")&amp;IF(AND(B9&lt;&gt;"",C9&lt;&gt;"",C9&lt;B9),"Cruza la medianoche. ","")&amp;IF(LEN(TRIM(F9))&lt;15,"Sin descripción suficiente. ","")&amp;IF(AND(ISERROR(SEARCH("R-0",F9)),ISERROR(SEARCH("CU-",F9))),"Sin ticket. ","")&amp;IF(ISNA(MATCH(E9,Datos!$E$8:$E$22,0)),"Proyecto sin valor hora. ","")&amp;IF(ISNA(MATCH(D9,Datos!$A$8:$A$22,0)),"Persona fuera del equipo. ","")))</f>
        <v/>
      </c>
      <c r="I9" s="21" t="n"/>
      <c r="J9" s="22" t="n"/>
      <c r="K9" s="23">
        <f>IF(G9="","",IF(J9&lt;&gt;"",MIN(J9,G9),IF(OR(I9="Observada",I9="Rechazada"),0,G9)))</f>
        <v/>
      </c>
      <c r="L9" s="24" t="n"/>
      <c r="M9" s="25">
        <f>IF(OR(A9="",D9=""),0,IF(COUNTIFS($A$2:A9,A9,$D$2:D9,D9)=1,1,0))</f>
        <v/>
      </c>
    </row>
    <row r="10">
      <c r="A10" s="26" t="n">
        <v>46238</v>
      </c>
      <c r="B10" s="27" t="n">
        <v>0.6354166666666666</v>
      </c>
      <c r="C10" s="27" t="n">
        <v>0.96875</v>
      </c>
      <c r="D10" s="28" t="inlineStr">
        <is>
          <t>Gabriel Denis</t>
        </is>
      </c>
      <c r="E10" s="28" t="inlineStr">
        <is>
          <t>SELICO</t>
        </is>
      </c>
      <c r="F10" s="29" t="inlineStr">
        <is>
          <t>Merge con Alexis; BUG-102/103; sanciones causal; Entregav10-13; Manual V5; doc Scripts BD por Hito</t>
        </is>
      </c>
      <c r="G10" s="30" t="n">
        <v>8</v>
      </c>
      <c r="H10" s="20">
        <f>IF(A10="","",TRIM(IF(WEEKDAY(A10,2)&gt;5,"Fin de semana. ","")&amp;IF(SUMIFS($G$2:$G$601,$A$2:$A$601,A10,$D$2:$D$601,D10)&gt;9,"Más de 9 h en el día. ","")&amp;IF(AND(B10&lt;&gt;"",C10&lt;&gt;"",C10&lt;B10),"Cruza la medianoche. ","")&amp;IF(LEN(TRIM(F10))&lt;15,"Sin descripción suficiente. ","")&amp;IF(AND(ISERROR(SEARCH("R-0",F10)),ISERROR(SEARCH("CU-",F10))),"Sin ticket. ","")&amp;IF(ISNA(MATCH(E10,Datos!$E$8:$E$22,0)),"Proyecto sin valor hora. ","")&amp;IF(ISNA(MATCH(D10,Datos!$A$8:$A$22,0)),"Persona fuera del equipo. ","")))</f>
        <v/>
      </c>
      <c r="I10" s="21" t="n"/>
      <c r="J10" s="22" t="n"/>
      <c r="K10" s="23">
        <f>IF(G10="","",IF(J10&lt;&gt;"",MIN(J10,G10),IF(OR(I10="Observada",I10="Rechazada"),0,G10)))</f>
        <v/>
      </c>
      <c r="L10" s="24" t="n"/>
      <c r="M10" s="25">
        <f>IF(OR(A10="",D10=""),0,IF(COUNTIFS($A$2:A10,A10,$D$2:D10,D10)=1,1,0))</f>
        <v/>
      </c>
      <c r="N10"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11">
      <c r="A11" s="26" t="n">
        <v>46238</v>
      </c>
      <c r="B11" s="27" t="n">
        <v>0.3333333333333333</v>
      </c>
      <c r="C11" s="27" t="n">
        <v>0.7083333333333334</v>
      </c>
      <c r="D11" s="28" t="inlineStr">
        <is>
          <t>Matias Zalazar</t>
        </is>
      </c>
      <c r="E11" s="28" t="inlineStr">
        <is>
          <t>Subastas</t>
        </is>
      </c>
      <c r="F11" s="29" t="inlineStr">
        <is>
          <t>Mejoras pagador linkify</t>
        </is>
      </c>
      <c r="G11" s="30" t="n">
        <v>9</v>
      </c>
      <c r="H11" s="20">
        <f>IF(A11="","",TRIM(IF(WEEKDAY(A11,2)&gt;5,"Fin de semana. ","")&amp;IF(SUMIFS($G$2:$G$601,$A$2:$A$601,A11,$D$2:$D$601,D11)&gt;9,"Más de 9 h en el día. ","")&amp;IF(AND(B11&lt;&gt;"",C11&lt;&gt;"",C11&lt;B11),"Cruza la medianoche. ","")&amp;IF(LEN(TRIM(F11))&lt;15,"Sin descripción suficiente. ","")&amp;IF(AND(ISERROR(SEARCH("R-0",F11)),ISERROR(SEARCH("CU-",F11))),"Sin ticket. ","")&amp;IF(ISNA(MATCH(E11,Datos!$E$8:$E$22,0)),"Proyecto sin valor hora. ","")&amp;IF(ISNA(MATCH(D11,Datos!$A$8:$A$22,0)),"Persona fuera del equipo. ","")))</f>
        <v/>
      </c>
      <c r="I11" s="21" t="n"/>
      <c r="J11" s="22" t="n"/>
      <c r="K11" s="23">
        <f>IF(G11="","",IF(J11&lt;&gt;"",MIN(J11,G11),IF(OR(I11="Observada",I11="Rechazada"),0,G11)))</f>
        <v/>
      </c>
      <c r="L11" s="24" t="n"/>
      <c r="M11" s="25">
        <f>IF(OR(A11="",D11=""),0,IF(COUNTIFS($A$2:A11,A11,$D$2:D11,D11)=1,1,0))</f>
        <v/>
      </c>
    </row>
    <row r="12">
      <c r="A12" s="26" t="n">
        <v>46239</v>
      </c>
      <c r="B12" s="27" t="n">
        <v>0.34375</v>
      </c>
      <c r="C12" s="27" t="n">
        <v>0.59375</v>
      </c>
      <c r="D12" s="28" t="inlineStr">
        <is>
          <t>Alexis Carnero</t>
        </is>
      </c>
      <c r="E12" s="28" t="inlineStr">
        <is>
          <t>SELICO</t>
        </is>
      </c>
      <c r="F12" s="29" t="inlineStr">
        <is>
          <t>Reunión "Hito 2: Revisión de Observaciones del Sprint" (1 h): sanciones que no graban en Test, duplicidad de RUT con despliegue de especialidades, cálculo de experiencia y error al grabar socio con especialidad asociada. Coordinación de traspasos a Test y seguimiento de las entregas v14 a v16 con el equipo y la contraparte usuaria.</t>
        </is>
      </c>
      <c r="G12" s="30" t="n">
        <v>6</v>
      </c>
      <c r="H12" s="20">
        <f>IF(A12="","",TRIM(IF(WEEKDAY(A12,2)&gt;5,"Fin de semana. ","")&amp;IF(SUMIFS($G$2:$G$601,$A$2:$A$601,A12,$D$2:$D$601,D12)&gt;9,"Más de 9 h en el día. ","")&amp;IF(AND(B12&lt;&gt;"",C12&lt;&gt;"",C12&lt;B12),"Cruza la medianoche. ","")&amp;IF(LEN(TRIM(F12))&lt;15,"Sin descripción suficiente. ","")&amp;IF(AND(ISERROR(SEARCH("R-0",F12)),ISERROR(SEARCH("CU-",F12))),"Sin ticket. ","")&amp;IF(ISNA(MATCH(E12,Datos!$E$8:$E$22,0)),"Proyecto sin valor hora. ","")&amp;IF(ISNA(MATCH(D12,Datos!$A$8:$A$22,0)),"Persona fuera del equipo. ","")))</f>
        <v/>
      </c>
      <c r="I12" s="21" t="n"/>
      <c r="J12" s="22" t="n"/>
      <c r="K12" s="23">
        <f>IF(G12="","",IF(J12&lt;&gt;"",MIN(J12,G12),IF(OR(I12="Observada",I12="Rechazada"),0,G12)))</f>
        <v/>
      </c>
      <c r="L12" s="24" t="n"/>
      <c r="M12" s="25">
        <f>IF(OR(A12="",D12=""),0,IF(COUNTIFS($A$2:A12,A12,$D$2:D12,D12)=1,1,0))</f>
        <v/>
      </c>
      <c r="N12"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13">
      <c r="A13" s="26" t="n">
        <v>46239</v>
      </c>
      <c r="B13" s="27" t="n">
        <v>0.4166666666666667</v>
      </c>
      <c r="C13" s="27" t="n">
        <v>0.6666666666666666</v>
      </c>
      <c r="D13" s="28" t="inlineStr">
        <is>
          <t>Franco Dodera</t>
        </is>
      </c>
      <c r="E13" s="28" t="inlineStr">
        <is>
          <t>SELICO</t>
        </is>
      </c>
      <c r="F13" s="29" t="inlineStr">
        <is>
          <t>Revision sprint 9 completo, corrida ETL y power BI</t>
        </is>
      </c>
      <c r="G13" s="30" t="n">
        <v>6</v>
      </c>
      <c r="H13" s="20">
        <f>IF(A13="","",TRIM(IF(WEEKDAY(A13,2)&gt;5,"Fin de semana. ","")&amp;IF(SUMIFS($G$2:$G$601,$A$2:$A$601,A13,$D$2:$D$601,D13)&gt;9,"Más de 9 h en el día. ","")&amp;IF(AND(B13&lt;&gt;"",C13&lt;&gt;"",C13&lt;B13),"Cruza la medianoche. ","")&amp;IF(LEN(TRIM(F13))&lt;15,"Sin descripción suficiente. ","")&amp;IF(AND(ISERROR(SEARCH("R-0",F13)),ISERROR(SEARCH("CU-",F13))),"Sin ticket. ","")&amp;IF(ISNA(MATCH(E13,Datos!$E$8:$E$22,0)),"Proyecto sin valor hora. ","")&amp;IF(ISNA(MATCH(D13,Datos!$A$8:$A$22,0)),"Persona fuera del equipo. ","")))</f>
        <v/>
      </c>
      <c r="I13" s="21" t="n"/>
      <c r="J13" s="22" t="n"/>
      <c r="K13" s="23">
        <f>IF(G13="","",IF(J13&lt;&gt;"",MIN(J13,G13),IF(OR(I13="Observada",I13="Rechazada"),0,G13)))</f>
        <v/>
      </c>
      <c r="L13" s="24" t="n"/>
      <c r="M13" s="25">
        <f>IF(OR(A13="",D13=""),0,IF(COUNTIFS($A$2:A13,A13,$D$2:D13,D13)=1,1,0))</f>
        <v/>
      </c>
    </row>
    <row r="14">
      <c r="A14" s="26" t="n">
        <v>46239</v>
      </c>
      <c r="B14" s="27" t="n">
        <v>0.59375</v>
      </c>
      <c r="C14" s="27" t="n">
        <v>0.8854166666666666</v>
      </c>
      <c r="D14" s="28" t="inlineStr">
        <is>
          <t>Gabriel Denis</t>
        </is>
      </c>
      <c r="E14" s="28" t="inlineStr">
        <is>
          <t>SELICO</t>
        </is>
      </c>
      <c r="F14" s="29" t="inlineStr">
        <is>
          <t>BUG-104; BUG-105 (3 rondas); Entregav14-17; auditoría completa de "ASPs a Entregar" contra el historial del repo</t>
        </is>
      </c>
      <c r="G14" s="30" t="n">
        <v>7</v>
      </c>
      <c r="H14" s="20">
        <f>IF(A14="","",TRIM(IF(WEEKDAY(A14,2)&gt;5,"Fin de semana. ","")&amp;IF(SUMIFS($G$2:$G$601,$A$2:$A$601,A14,$D$2:$D$601,D14)&gt;9,"Más de 9 h en el día. ","")&amp;IF(AND(B14&lt;&gt;"",C14&lt;&gt;"",C14&lt;B14),"Cruza la medianoche. ","")&amp;IF(LEN(TRIM(F14))&lt;15,"Sin descripción suficiente. ","")&amp;IF(AND(ISERROR(SEARCH("R-0",F14)),ISERROR(SEARCH("CU-",F14))),"Sin ticket. ","")&amp;IF(ISNA(MATCH(E14,Datos!$E$8:$E$22,0)),"Proyecto sin valor hora. ","")&amp;IF(ISNA(MATCH(D14,Datos!$A$8:$A$22,0)),"Persona fuera del equipo. ","")))</f>
        <v/>
      </c>
      <c r="I14" s="21" t="n"/>
      <c r="J14" s="22" t="n"/>
      <c r="K14" s="23">
        <f>IF(G14="","",IF(J14&lt;&gt;"",MIN(J14,G14),IF(OR(I14="Observada",I14="Rechazada"),0,G14)))</f>
        <v/>
      </c>
      <c r="L14" s="24" t="n"/>
      <c r="M14" s="25">
        <f>IF(OR(A14="",D14=""),0,IF(COUNTIFS($A$2:A14,A14,$D$2:D14,D14)=1,1,0))</f>
        <v/>
      </c>
      <c r="N14"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15">
      <c r="A15" s="26" t="n">
        <v>46239</v>
      </c>
      <c r="B15" s="27" t="n">
        <v>0.6770833333333334</v>
      </c>
      <c r="C15" s="27" t="n">
        <v>0.71875</v>
      </c>
      <c r="D15" s="28" t="inlineStr">
        <is>
          <t>Luciano Carducci</t>
        </is>
      </c>
      <c r="E15" s="28" t="inlineStr">
        <is>
          <t>VictoriusCP2</t>
        </is>
      </c>
      <c r="F15" s="29" t="inlineStr">
        <is>
          <t>Revisión de fecha de fin de inscripción para el cliente Olacefs</t>
        </is>
      </c>
      <c r="G15" s="30" t="n">
        <v>1</v>
      </c>
      <c r="H15" s="20">
        <f>IF(A15="","",TRIM(IF(WEEKDAY(A15,2)&gt;5,"Fin de semana. ","")&amp;IF(SUMIFS($G$2:$G$601,$A$2:$A$601,A15,$D$2:$D$601,D15)&gt;9,"Más de 9 h en el día. ","")&amp;IF(AND(B15&lt;&gt;"",C15&lt;&gt;"",C15&lt;B15),"Cruza la medianoche. ","")&amp;IF(LEN(TRIM(F15))&lt;15,"Sin descripción suficiente. ","")&amp;IF(AND(ISERROR(SEARCH("R-0",F15)),ISERROR(SEARCH("CU-",F15))),"Sin ticket. ","")&amp;IF(ISNA(MATCH(E15,Datos!$E$8:$E$22,0)),"Proyecto sin valor hora. ","")&amp;IF(ISNA(MATCH(D15,Datos!$A$8:$A$22,0)),"Persona fuera del equipo. ","")))</f>
        <v/>
      </c>
      <c r="I15" s="21" t="n"/>
      <c r="J15" s="22" t="n"/>
      <c r="K15" s="23">
        <f>IF(G15="","",IF(J15&lt;&gt;"",MIN(J15,G15),IF(OR(I15="Observada",I15="Rechazada"),0,G15)))</f>
        <v/>
      </c>
      <c r="L15" s="24" t="n"/>
      <c r="M15" s="25">
        <f>IF(OR(A15="",D15=""),0,IF(COUNTIFS($A$2:A15,A15,$D$2:D15,D15)=1,1,0))</f>
        <v/>
      </c>
    </row>
    <row r="16">
      <c r="A16" s="26" t="n">
        <v>46239</v>
      </c>
      <c r="B16" s="27" t="n">
        <v>0.3333333333333333</v>
      </c>
      <c r="C16" s="27" t="n">
        <v>0.5833333333333334</v>
      </c>
      <c r="D16" s="28" t="inlineStr">
        <is>
          <t>Matias Zalazar</t>
        </is>
      </c>
      <c r="E16" s="28" t="inlineStr">
        <is>
          <t>Subastas</t>
        </is>
      </c>
      <c r="F16" s="29" t="inlineStr">
        <is>
          <t>Mejoras pagador linkify</t>
        </is>
      </c>
      <c r="G16" s="30" t="n">
        <v>6</v>
      </c>
      <c r="H16" s="20">
        <f>IF(A16="","",TRIM(IF(WEEKDAY(A16,2)&gt;5,"Fin de semana. ","")&amp;IF(SUMIFS($G$2:$G$601,$A$2:$A$601,A16,$D$2:$D$601,D16)&gt;9,"Más de 9 h en el día. ","")&amp;IF(AND(B16&lt;&gt;"",C16&lt;&gt;"",C16&lt;B16),"Cruza la medianoche. ","")&amp;IF(LEN(TRIM(F16))&lt;15,"Sin descripción suficiente. ","")&amp;IF(AND(ISERROR(SEARCH("R-0",F16)),ISERROR(SEARCH("CU-",F16))),"Sin ticket. ","")&amp;IF(ISNA(MATCH(E16,Datos!$E$8:$E$22,0)),"Proyecto sin valor hora. ","")&amp;IF(ISNA(MATCH(D16,Datos!$A$8:$A$22,0)),"Persona fuera del equipo. ","")))</f>
        <v/>
      </c>
      <c r="I16" s="21" t="n"/>
      <c r="J16" s="22" t="n"/>
      <c r="K16" s="23">
        <f>IF(G16="","",IF(J16&lt;&gt;"",MIN(J16,G16),IF(OR(I16="Observada",I16="Rechazada"),0,G16)))</f>
        <v/>
      </c>
      <c r="L16" s="24" t="n"/>
      <c r="M16" s="25">
        <f>IF(OR(A16="",D16=""),0,IF(COUNTIFS($A$2:A16,A16,$D$2:D16,D16)=1,1,0))</f>
        <v/>
      </c>
    </row>
    <row r="17">
      <c r="A17" s="26" t="n">
        <v>46239</v>
      </c>
      <c r="B17" s="27" t="n">
        <v>0.625</v>
      </c>
      <c r="C17" s="27" t="n">
        <v>0.75</v>
      </c>
      <c r="D17" s="28" t="inlineStr">
        <is>
          <t>Matias Zalazar</t>
        </is>
      </c>
      <c r="E17" s="28" t="inlineStr">
        <is>
          <t>Subastas</t>
        </is>
      </c>
      <c r="F17" s="29" t="inlineStr">
        <is>
          <t>Mejora caracteres acentuados</t>
        </is>
      </c>
      <c r="G17" s="30" t="n">
        <v>3</v>
      </c>
      <c r="H17" s="20">
        <f>IF(A17="","",TRIM(IF(WEEKDAY(A17,2)&gt;5,"Fin de semana. ","")&amp;IF(SUMIFS($G$2:$G$601,$A$2:$A$601,A17,$D$2:$D$601,D17)&gt;9,"Más de 9 h en el día. ","")&amp;IF(AND(B17&lt;&gt;"",C17&lt;&gt;"",C17&lt;B17),"Cruza la medianoche. ","")&amp;IF(LEN(TRIM(F17))&lt;15,"Sin descripción suficiente. ","")&amp;IF(AND(ISERROR(SEARCH("R-0",F17)),ISERROR(SEARCH("CU-",F17))),"Sin ticket. ","")&amp;IF(ISNA(MATCH(E17,Datos!$E$8:$E$22,0)),"Proyecto sin valor hora. ","")&amp;IF(ISNA(MATCH(D17,Datos!$A$8:$A$22,0)),"Persona fuera del equipo. ","")))</f>
        <v/>
      </c>
      <c r="I17" s="21" t="n"/>
      <c r="J17" s="22" t="n"/>
      <c r="K17" s="23">
        <f>IF(G17="","",IF(J17&lt;&gt;"",MIN(J17,G17),IF(OR(I17="Observada",I17="Rechazada"),0,G17)))</f>
        <v/>
      </c>
      <c r="L17" s="24" t="n"/>
      <c r="M17" s="25">
        <f>IF(OR(A17="",D17=""),0,IF(COUNTIFS($A$2:A17,A17,$D$2:D17,D17)=1,1,0))</f>
        <v/>
      </c>
    </row>
    <row r="18">
      <c r="A18" s="26" t="n">
        <v>46240</v>
      </c>
      <c r="B18" s="27" t="n">
        <v>0.3333333333333333</v>
      </c>
      <c r="C18" s="27" t="n">
        <v>0.5625</v>
      </c>
      <c r="D18" s="28" t="inlineStr">
        <is>
          <t>Alexis Carnero</t>
        </is>
      </c>
      <c r="E18" s="28" t="inlineStr">
        <is>
          <t>SELICO</t>
        </is>
      </c>
      <c r="F18" s="29" t="inlineStr">
        <is>
          <t>Reunión "Hito 2 - Traspaso a Producción" (30 min). Inventario de componentes .asp de los Sprints 8, 9 y 10 contrastado contra el repositorio; armado y envío de los listados de componentes y scripts SQL del Hito 2 para traspaso a Producción. Revisión de scripts de parametrización por decreto y de las observaciones del Sprint 11 (HU 36-39).</t>
        </is>
      </c>
      <c r="G18" s="30" t="n">
        <v>5.5</v>
      </c>
      <c r="H18" s="20">
        <f>IF(A18="","",TRIM(IF(WEEKDAY(A18,2)&gt;5,"Fin de semana. ","")&amp;IF(SUMIFS($G$2:$G$601,$A$2:$A$601,A18,$D$2:$D$601,D18)&gt;9,"Más de 9 h en el día. ","")&amp;IF(AND(B18&lt;&gt;"",C18&lt;&gt;"",C18&lt;B18),"Cruza la medianoche. ","")&amp;IF(LEN(TRIM(F18))&lt;15,"Sin descripción suficiente. ","")&amp;IF(AND(ISERROR(SEARCH("R-0",F18)),ISERROR(SEARCH("CU-",F18))),"Sin ticket. ","")&amp;IF(ISNA(MATCH(E18,Datos!$E$8:$E$22,0)),"Proyecto sin valor hora. ","")&amp;IF(ISNA(MATCH(D18,Datos!$A$8:$A$22,0)),"Persona fuera del equipo. ","")))</f>
        <v/>
      </c>
      <c r="I18" s="21" t="n"/>
      <c r="J18" s="22" t="n"/>
      <c r="K18" s="23">
        <f>IF(G18="","",IF(J18&lt;&gt;"",MIN(J18,G18),IF(OR(I18="Observada",I18="Rechazada"),0,G18)))</f>
        <v/>
      </c>
      <c r="L18" s="24" t="n"/>
      <c r="M18" s="25">
        <f>IF(OR(A18="",D18=""),0,IF(COUNTIFS($A$2:A18,A18,$D$2:D18,D18)=1,1,0))</f>
        <v/>
      </c>
      <c r="N18"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19">
      <c r="A19" s="26" t="n">
        <v>46240</v>
      </c>
      <c r="B19" s="27" t="n">
        <v>0.4166666666666667</v>
      </c>
      <c r="C19" s="27" t="n">
        <v>0.6666666666666666</v>
      </c>
      <c r="D19" s="28" t="inlineStr">
        <is>
          <t>Franco Dodera</t>
        </is>
      </c>
      <c r="E19" s="28" t="inlineStr">
        <is>
          <t>SELICO</t>
        </is>
      </c>
      <c r="F19" s="29" t="inlineStr">
        <is>
          <t>Proceso traspaso a produccion</t>
        </is>
      </c>
      <c r="G19" s="30" t="n">
        <v>6</v>
      </c>
      <c r="H19" s="20">
        <f>IF(A19="","",TRIM(IF(WEEKDAY(A19,2)&gt;5,"Fin de semana. ","")&amp;IF(SUMIFS($G$2:$G$601,$A$2:$A$601,A19,$D$2:$D$601,D19)&gt;9,"Más de 9 h en el día. ","")&amp;IF(AND(B19&lt;&gt;"",C19&lt;&gt;"",C19&lt;B19),"Cruza la medianoche. ","")&amp;IF(LEN(TRIM(F19))&lt;15,"Sin descripción suficiente. ","")&amp;IF(AND(ISERROR(SEARCH("R-0",F19)),ISERROR(SEARCH("CU-",F19))),"Sin ticket. ","")&amp;IF(ISNA(MATCH(E19,Datos!$E$8:$E$22,0)),"Proyecto sin valor hora. ","")&amp;IF(ISNA(MATCH(D19,Datos!$A$8:$A$22,0)),"Persona fuera del equipo. ","")))</f>
        <v/>
      </c>
      <c r="I19" s="21" t="n"/>
      <c r="J19" s="22" t="n"/>
      <c r="K19" s="23">
        <f>IF(G19="","",IF(J19&lt;&gt;"",MIN(J19,G19),IF(OR(I19="Observada",I19="Rechazada"),0,G19)))</f>
        <v/>
      </c>
      <c r="L19" s="24" t="n"/>
      <c r="M19" s="25">
        <f>IF(OR(A19="",D19=""),0,IF(COUNTIFS($A$2:A19,A19,$D$2:D19,D19)=1,1,0))</f>
        <v/>
      </c>
    </row>
    <row r="20">
      <c r="A20" s="26" t="n">
        <v>46240</v>
      </c>
      <c r="B20" s="27" t="n">
        <v>0.5625</v>
      </c>
      <c r="C20" s="27" t="n">
        <v>0.8958333333333334</v>
      </c>
      <c r="D20" s="28" t="inlineStr">
        <is>
          <t>Gabriel Denis</t>
        </is>
      </c>
      <c r="E20" s="28" t="inlineStr">
        <is>
          <t>SELICO</t>
        </is>
      </c>
      <c r="F20" s="29" t="inlineStr">
        <is>
          <t>)resuelve conflicto docx; auditoría exhaustiva; recupera 16 scripts Req17 del historial git</t>
        </is>
      </c>
      <c r="G20" s="30" t="n">
        <v>8</v>
      </c>
      <c r="H20" s="20">
        <f>IF(A20="","",TRIM(IF(WEEKDAY(A20,2)&gt;5,"Fin de semana. ","")&amp;IF(SUMIFS($G$2:$G$601,$A$2:$A$601,A20,$D$2:$D$601,D20)&gt;9,"Más de 9 h en el día. ","")&amp;IF(AND(B20&lt;&gt;"",C20&lt;&gt;"",C20&lt;B20),"Cruza la medianoche. ","")&amp;IF(LEN(TRIM(F20))&lt;15,"Sin descripción suficiente. ","")&amp;IF(AND(ISERROR(SEARCH("R-0",F20)),ISERROR(SEARCH("CU-",F20))),"Sin ticket. ","")&amp;IF(ISNA(MATCH(E20,Datos!$E$8:$E$22,0)),"Proyecto sin valor hora. ","")&amp;IF(ISNA(MATCH(D20,Datos!$A$8:$A$22,0)),"Persona fuera del equipo. ","")))</f>
        <v/>
      </c>
      <c r="I20" s="21" t="n"/>
      <c r="J20" s="22" t="n"/>
      <c r="K20" s="23">
        <f>IF(G20="","",IF(J20&lt;&gt;"",MIN(J20,G20),IF(OR(I20="Observada",I20="Rechazada"),0,G20)))</f>
        <v/>
      </c>
      <c r="L20" s="24" t="n"/>
      <c r="M20" s="25">
        <f>IF(OR(A20="",D20=""),0,IF(COUNTIFS($A$2:A20,A20,$D$2:D20,D20)=1,1,0))</f>
        <v/>
      </c>
      <c r="N20"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21">
      <c r="A21" s="26" t="n">
        <v>46240</v>
      </c>
      <c r="B21" s="27" t="n">
        <v>0.4791666666666667</v>
      </c>
      <c r="C21" s="27" t="n">
        <v>0.6041666666666666</v>
      </c>
      <c r="D21" s="28" t="inlineStr">
        <is>
          <t>Luciano Carducci</t>
        </is>
      </c>
      <c r="E21" s="28" t="inlineStr">
        <is>
          <t>VictoriusCP2</t>
        </is>
      </c>
      <c r="F21" s="29" t="inlineStr">
        <is>
          <t>Fix fecha de fin de inscripciones para Olacefs.</t>
        </is>
      </c>
      <c r="G21" s="30" t="n">
        <v>3</v>
      </c>
      <c r="H21" s="20">
        <f>IF(A21="","",TRIM(IF(WEEKDAY(A21,2)&gt;5,"Fin de semana. ","")&amp;IF(SUMIFS($G$2:$G$601,$A$2:$A$601,A21,$D$2:$D$601,D21)&gt;9,"Más de 9 h en el día. ","")&amp;IF(AND(B21&lt;&gt;"",C21&lt;&gt;"",C21&lt;B21),"Cruza la medianoche. ","")&amp;IF(LEN(TRIM(F21))&lt;15,"Sin descripción suficiente. ","")&amp;IF(AND(ISERROR(SEARCH("R-0",F21)),ISERROR(SEARCH("CU-",F21))),"Sin ticket. ","")&amp;IF(ISNA(MATCH(E21,Datos!$E$8:$E$22,0)),"Proyecto sin valor hora. ","")&amp;IF(ISNA(MATCH(D21,Datos!$A$8:$A$22,0)),"Persona fuera del equipo. ","")))</f>
        <v/>
      </c>
      <c r="I21" s="21" t="n"/>
      <c r="J21" s="22" t="n"/>
      <c r="K21" s="23">
        <f>IF(G21="","",IF(J21&lt;&gt;"",MIN(J21,G21),IF(OR(I21="Observada",I21="Rechazada"),0,G21)))</f>
        <v/>
      </c>
      <c r="L21" s="24" t="n"/>
      <c r="M21" s="25">
        <f>IF(OR(A21="",D21=""),0,IF(COUNTIFS($A$2:A21,A21,$D$2:D21,D21)=1,1,0))</f>
        <v/>
      </c>
    </row>
    <row r="22">
      <c r="A22" s="26" t="n">
        <v>46240</v>
      </c>
      <c r="B22" s="27" t="n">
        <v>0.3333333333333333</v>
      </c>
      <c r="C22" s="27" t="n">
        <v>0.7083333333333334</v>
      </c>
      <c r="D22" s="28" t="inlineStr">
        <is>
          <t>Matias Zalazar</t>
        </is>
      </c>
      <c r="E22" s="28" t="inlineStr">
        <is>
          <t>Subastas</t>
        </is>
      </c>
      <c r="F22" s="29" t="inlineStr">
        <is>
          <t>Mejora caracteres acentuados</t>
        </is>
      </c>
      <c r="G22" s="30" t="n">
        <v>9</v>
      </c>
      <c r="H22" s="20">
        <f>IF(A22="","",TRIM(IF(WEEKDAY(A22,2)&gt;5,"Fin de semana. ","")&amp;IF(SUMIFS($G$2:$G$601,$A$2:$A$601,A22,$D$2:$D$601,D22)&gt;9,"Más de 9 h en el día. ","")&amp;IF(AND(B22&lt;&gt;"",C22&lt;&gt;"",C22&lt;B22),"Cruza la medianoche. ","")&amp;IF(LEN(TRIM(F22))&lt;15,"Sin descripción suficiente. ","")&amp;IF(AND(ISERROR(SEARCH("R-0",F22)),ISERROR(SEARCH("CU-",F22))),"Sin ticket. ","")&amp;IF(ISNA(MATCH(E22,Datos!$E$8:$E$22,0)),"Proyecto sin valor hora. ","")&amp;IF(ISNA(MATCH(D22,Datos!$A$8:$A$22,0)),"Persona fuera del equipo. ","")))</f>
        <v/>
      </c>
      <c r="I22" s="21" t="n"/>
      <c r="J22" s="22" t="n"/>
      <c r="K22" s="23">
        <f>IF(G22="","",IF(J22&lt;&gt;"",MIN(J22,G22),IF(OR(I22="Observada",I22="Rechazada"),0,G22)))</f>
        <v/>
      </c>
      <c r="L22" s="24" t="n"/>
      <c r="M22" s="25">
        <f>IF(OR(A22="",D22=""),0,IF(COUNTIFS($A$2:A22,A22,$D$2:D22,D22)=1,1,0))</f>
        <v/>
      </c>
    </row>
    <row r="23" ht="25.5" customHeight="1">
      <c r="A23" s="26" t="n">
        <v>46241</v>
      </c>
      <c r="B23" s="27" t="n">
        <v>0.3333333333333333</v>
      </c>
      <c r="C23" s="27" t="n">
        <v>0.375</v>
      </c>
      <c r="D23" s="28" t="inlineStr">
        <is>
          <t>Alexis Carnero</t>
        </is>
      </c>
      <c r="E23" s="28" t="inlineStr">
        <is>
          <t>SELICO</t>
        </is>
      </c>
      <c r="F23" s="29" t="inlineStr">
        <is>
          <t>Reunión "Sprint 11 - Reparos de Usuario" (1 h). BUG-107: diagnóstico de la clasificación errónea del Tipo Art. 6 en el Reporte de Consultores y corrección del criterio DS135, que estaba invertido.</t>
        </is>
      </c>
      <c r="G23" s="30" t="n">
        <v>1</v>
      </c>
      <c r="H23" s="20">
        <f>IF(A23="","",TRIM(IF(WEEKDAY(A23,2)&gt;5,"Fin de semana. ","")&amp;IF(SUMIFS($G$2:$G$601,$A$2:$A$601,A23,$D$2:$D$601,D23)&gt;9,"Más de 9 h en el día. ","")&amp;IF(AND(B23&lt;&gt;"",C23&lt;&gt;"",C23&lt;B23),"Cruza la medianoche. ","")&amp;IF(LEN(TRIM(F23))&lt;15,"Sin descripción suficiente. ","")&amp;IF(AND(ISERROR(SEARCH("R-0",F23)),ISERROR(SEARCH("CU-",F23))),"Sin ticket. ","")&amp;IF(ISNA(MATCH(E23,Datos!$E$8:$E$22,0)),"Proyecto sin valor hora. ","")&amp;IF(ISNA(MATCH(D23,Datos!$A$8:$A$22,0)),"Persona fuera del equipo. ","")))</f>
        <v/>
      </c>
      <c r="I23" s="21" t="n"/>
      <c r="J23" s="22" t="n"/>
      <c r="K23" s="23">
        <f>IF(G23="","",IF(J23&lt;&gt;"",MIN(J23,G23),IF(OR(I23="Observada",I23="Rechazada"),0,G23)))</f>
        <v/>
      </c>
      <c r="L23" s="24" t="n"/>
      <c r="M23" s="25">
        <f>IF(OR(A23="",D23=""),0,IF(COUNTIFS($A$2:A23,A23,$D$2:D23,D23)=1,1,0))</f>
        <v/>
      </c>
      <c r="N23"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24">
      <c r="A24" s="26" t="n">
        <v>46241</v>
      </c>
      <c r="B24" s="27" t="n">
        <v>0.9583333333333334</v>
      </c>
      <c r="C24" s="27" t="n">
        <v>0.08333333333333333</v>
      </c>
      <c r="D24" s="28" t="inlineStr">
        <is>
          <t>Franco Dodera</t>
        </is>
      </c>
      <c r="E24" s="28" t="inlineStr">
        <is>
          <t>SELICO</t>
        </is>
      </c>
      <c r="F24" s="29" t="inlineStr">
        <is>
          <t>REUNIONES Y REVISIONES</t>
        </is>
      </c>
      <c r="G24" s="30" t="n">
        <v>3</v>
      </c>
      <c r="H24" s="20">
        <f>IF(A24="","",TRIM(IF(WEEKDAY(A24,2)&gt;5,"Fin de semana. ","")&amp;IF(SUMIFS($G$2:$G$601,$A$2:$A$601,A24,$D$2:$D$601,D24)&gt;9,"Más de 9 h en el día. ","")&amp;IF(AND(B24&lt;&gt;"",C24&lt;&gt;"",C24&lt;B24),"Cruza la medianoche. ","")&amp;IF(LEN(TRIM(F24))&lt;15,"Sin descripción suficiente. ","")&amp;IF(AND(ISERROR(SEARCH("R-0",F24)),ISERROR(SEARCH("CU-",F24))),"Sin ticket. ","")&amp;IF(ISNA(MATCH(E24,Datos!$E$8:$E$22,0)),"Proyecto sin valor hora. ","")&amp;IF(ISNA(MATCH(D24,Datos!$A$8:$A$22,0)),"Persona fuera del equipo. ","")))</f>
        <v/>
      </c>
      <c r="I24" s="21" t="n"/>
      <c r="J24" s="22" t="n"/>
      <c r="K24" s="23">
        <f>IF(G24="","",IF(J24&lt;&gt;"",MIN(J24,G24),IF(OR(I24="Observada",I24="Rechazada"),0,G24)))</f>
        <v/>
      </c>
      <c r="L24" s="24" t="n"/>
      <c r="M24" s="25">
        <f>IF(OR(A24="",D24=""),0,IF(COUNTIFS($A$2:A24,A24,$D$2:D24,D24)=1,1,0))</f>
        <v/>
      </c>
    </row>
    <row r="25">
      <c r="A25" s="26" t="n">
        <v>46241</v>
      </c>
      <c r="B25" s="27" t="n">
        <v>0.375</v>
      </c>
      <c r="C25" s="27" t="n">
        <v>0.5416666666666666</v>
      </c>
      <c r="D25" s="28" t="inlineStr">
        <is>
          <t>Gabriel Denis</t>
        </is>
      </c>
      <c r="E25" s="28" t="inlineStr">
        <is>
          <t>SELICO</t>
        </is>
      </c>
      <c r="F25" s="29" t="inlineStr">
        <is>
          <t>BUG-107 abierto (Tipo Art. 6 mal clasificado); Entregav18/19</t>
        </is>
      </c>
      <c r="G25" s="30" t="n">
        <v>4</v>
      </c>
      <c r="H25" s="20">
        <f>IF(A25="","",TRIM(IF(WEEKDAY(A25,2)&gt;5,"Fin de semana. ","")&amp;IF(SUMIFS($G$2:$G$601,$A$2:$A$601,A25,$D$2:$D$601,D25)&gt;9,"Más de 9 h en el día. ","")&amp;IF(AND(B25&lt;&gt;"",C25&lt;&gt;"",C25&lt;B25),"Cruza la medianoche. ","")&amp;IF(LEN(TRIM(F25))&lt;15,"Sin descripción suficiente. ","")&amp;IF(AND(ISERROR(SEARCH("R-0",F25)),ISERROR(SEARCH("CU-",F25))),"Sin ticket. ","")&amp;IF(ISNA(MATCH(E25,Datos!$E$8:$E$22,0)),"Proyecto sin valor hora. ","")&amp;IF(ISNA(MATCH(D25,Datos!$A$8:$A$22,0)),"Persona fuera del equipo. ","")))</f>
        <v/>
      </c>
      <c r="I25" s="21" t="n"/>
      <c r="J25" s="22" t="n"/>
      <c r="K25" s="23">
        <f>IF(G25="","",IF(J25&lt;&gt;"",MIN(J25,G25),IF(OR(I25="Observada",I25="Rechazada"),0,G25)))</f>
        <v/>
      </c>
      <c r="L25" s="24" t="n"/>
      <c r="M25" s="25">
        <f>IF(OR(A25="",D25=""),0,IF(COUNTIFS($A$2:A25,A25,$D$2:D25,D25)=1,1,0))</f>
        <v/>
      </c>
      <c r="N25"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26">
      <c r="A26" s="26" t="n">
        <v>46244</v>
      </c>
      <c r="B26" s="27" t="n">
        <v>0.3333333333333333</v>
      </c>
      <c r="C26" s="27" t="n">
        <v>0.5416666666666666</v>
      </c>
      <c r="D26" s="28" t="inlineStr">
        <is>
          <t>Alexis Carnero</t>
        </is>
      </c>
      <c r="E26" s="28" t="inlineStr">
        <is>
          <t>SELICO</t>
        </is>
      </c>
      <c r="F26" s="29" t="inlineStr">
        <is>
          <t>Dos reuniones: "ERRORES en producción" (1 h) y "PPTT y RRTT - Revisar Sprint 11 y 12" (1 h). Análisis del fallo de los scripts de parametrización por decreto en Producción: dependen de una columna inexistente, por lo que deben ejecutarse antes los scripts de auditoría del Req14. Entrega del fix de mayúsculas en "Profesional Habilitante" del Certificado de Vigencia, en versiones para RRTT y Portal Trámites en Línea. Continuación de BUG-107.</t>
        </is>
      </c>
      <c r="G26" s="30" t="n">
        <v>5</v>
      </c>
      <c r="H26" s="20">
        <f>IF(A26="","",TRIM(IF(WEEKDAY(A26,2)&gt;5,"Fin de semana. ","")&amp;IF(SUMIFS($G$2:$G$601,$A$2:$A$601,A26,$D$2:$D$601,D26)&gt;9,"Más de 9 h en el día. ","")&amp;IF(AND(B26&lt;&gt;"",C26&lt;&gt;"",C26&lt;B26),"Cruza la medianoche. ","")&amp;IF(LEN(TRIM(F26))&lt;15,"Sin descripción suficiente. ","")&amp;IF(AND(ISERROR(SEARCH("R-0",F26)),ISERROR(SEARCH("CU-",F26))),"Sin ticket. ","")&amp;IF(ISNA(MATCH(E26,Datos!$E$8:$E$22,0)),"Proyecto sin valor hora. ","")&amp;IF(ISNA(MATCH(D26,Datos!$A$8:$A$22,0)),"Persona fuera del equipo. ","")))</f>
        <v/>
      </c>
      <c r="I26" s="21" t="n"/>
      <c r="J26" s="22" t="n"/>
      <c r="K26" s="23">
        <f>IF(G26="","",IF(J26&lt;&gt;"",MIN(J26,G26),IF(OR(I26="Observada",I26="Rechazada"),0,G26)))</f>
        <v/>
      </c>
      <c r="L26" s="24" t="n"/>
      <c r="M26" s="25">
        <f>IF(OR(A26="",D26=""),0,IF(COUNTIFS($A$2:A26,A26,$D$2:D26,D26)=1,1,0))</f>
        <v/>
      </c>
      <c r="N26"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27">
      <c r="A27" s="26" t="n">
        <v>46244</v>
      </c>
      <c r="B27" s="27" t="n">
        <v>0.625</v>
      </c>
      <c r="C27" s="27" t="n">
        <v>0.875</v>
      </c>
      <c r="D27" s="28" t="inlineStr">
        <is>
          <t>Franco Dodera</t>
        </is>
      </c>
      <c r="E27" s="28" t="inlineStr">
        <is>
          <t>SELICO</t>
        </is>
      </c>
      <c r="F27" s="29" t="inlineStr">
        <is>
          <t>Revision sprint 11, reuniones. Verificacion de error sobre ETL y power BI respecto a lo reportado por el usuario</t>
        </is>
      </c>
      <c r="G27" s="30" t="n">
        <v>6</v>
      </c>
      <c r="H27" s="20">
        <f>IF(A27="","",TRIM(IF(WEEKDAY(A27,2)&gt;5,"Fin de semana. ","")&amp;IF(SUMIFS($G$2:$G$601,$A$2:$A$601,A27,$D$2:$D$601,D27)&gt;9,"Más de 9 h en el día. ","")&amp;IF(AND(B27&lt;&gt;"",C27&lt;&gt;"",C27&lt;B27),"Cruza la medianoche. ","")&amp;IF(LEN(TRIM(F27))&lt;15,"Sin descripción suficiente. ","")&amp;IF(AND(ISERROR(SEARCH("R-0",F27)),ISERROR(SEARCH("CU-",F27))),"Sin ticket. ","")&amp;IF(ISNA(MATCH(E27,Datos!$E$8:$E$22,0)),"Proyecto sin valor hora. ","")&amp;IF(ISNA(MATCH(D27,Datos!$A$8:$A$22,0)),"Persona fuera del equipo. ","")))</f>
        <v/>
      </c>
      <c r="I27" s="21" t="n"/>
      <c r="J27" s="22" t="n"/>
      <c r="K27" s="23">
        <f>IF(G27="","",IF(J27&lt;&gt;"",MIN(J27,G27),IF(OR(I27="Observada",I27="Rechazada"),0,G27)))</f>
        <v/>
      </c>
      <c r="L27" s="24" t="n"/>
      <c r="M27" s="25">
        <f>IF(OR(A27="",D27=""),0,IF(COUNTIFS($A$2:A27,A27,$D$2:D27,D27)=1,1,0))</f>
        <v/>
      </c>
    </row>
    <row r="28" ht="25.5" customHeight="1">
      <c r="A28" s="26" t="n">
        <v>46244</v>
      </c>
      <c r="B28" s="27" t="n">
        <v>0.5416666666666666</v>
      </c>
      <c r="C28" s="27" t="n">
        <v>0.875</v>
      </c>
      <c r="D28" s="28" t="inlineStr">
        <is>
          <t>Gabriel Denis</t>
        </is>
      </c>
      <c r="E28" s="28" t="inlineStr">
        <is>
          <t>SELICO</t>
        </is>
      </c>
      <c r="F28" s="29" t="inlineStr">
        <is>
          <t>BUG-107 continúa (3 rondas); topología real de 3 bases; Entregav20/21/22</t>
        </is>
      </c>
      <c r="G28" s="30" t="n">
        <v>8</v>
      </c>
      <c r="H28" s="20">
        <f>IF(A28="","",TRIM(IF(WEEKDAY(A28,2)&gt;5,"Fin de semana. ","")&amp;IF(SUMIFS($G$2:$G$601,$A$2:$A$601,A28,$D$2:$D$601,D28)&gt;9,"Más de 9 h en el día. ","")&amp;IF(AND(B28&lt;&gt;"",C28&lt;&gt;"",C28&lt;B28),"Cruza la medianoche. ","")&amp;IF(LEN(TRIM(F28))&lt;15,"Sin descripción suficiente. ","")&amp;IF(AND(ISERROR(SEARCH("R-0",F28)),ISERROR(SEARCH("CU-",F28))),"Sin ticket. ","")&amp;IF(ISNA(MATCH(E28,Datos!$E$8:$E$22,0)),"Proyecto sin valor hora. ","")&amp;IF(ISNA(MATCH(D28,Datos!$A$8:$A$22,0)),"Persona fuera del equipo. ","")))</f>
        <v/>
      </c>
      <c r="I28" s="21" t="n"/>
      <c r="J28" s="22" t="n"/>
      <c r="K28" s="23">
        <f>IF(G28="","",IF(J28&lt;&gt;"",MIN(J28,G28),IF(OR(I28="Observada",I28="Rechazada"),0,G28)))</f>
        <v/>
      </c>
      <c r="L28" s="24" t="n"/>
      <c r="M28" s="25">
        <f>IF(OR(A28="",D28=""),0,IF(COUNTIFS($A$2:A28,A28,$D$2:D28,D28)=1,1,0))</f>
        <v/>
      </c>
      <c r="N28"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29">
      <c r="A29" s="26" t="n">
        <v>46244</v>
      </c>
      <c r="B29" s="27" t="n">
        <v>0.625</v>
      </c>
      <c r="C29" s="27" t="n">
        <v>0.6875</v>
      </c>
      <c r="D29" s="28" t="inlineStr">
        <is>
          <t>Lautaro Zalazar</t>
        </is>
      </c>
      <c r="E29" s="28" t="inlineStr">
        <is>
          <t>Victorius 3</t>
        </is>
      </c>
      <c r="F29" s="29" t="inlineStr">
        <is>
          <t>Relevamiento victorius 1</t>
        </is>
      </c>
      <c r="G29" s="30" t="n">
        <v>1.5</v>
      </c>
      <c r="H29" s="20">
        <f>IF(A29="","",TRIM(IF(WEEKDAY(A29,2)&gt;5,"Fin de semana. ","")&amp;IF(SUMIFS($G$2:$G$601,$A$2:$A$601,A29,$D$2:$D$601,D29)&gt;9,"Más de 9 h en el día. ","")&amp;IF(AND(B29&lt;&gt;"",C29&lt;&gt;"",C29&lt;B29),"Cruza la medianoche. ","")&amp;IF(LEN(TRIM(F29))&lt;15,"Sin descripción suficiente. ","")&amp;IF(AND(ISERROR(SEARCH("R-0",F29)),ISERROR(SEARCH("CU-",F29))),"Sin ticket. ","")&amp;IF(ISNA(MATCH(E29,Datos!$E$8:$E$22,0)),"Proyecto sin valor hora. ","")&amp;IF(ISNA(MATCH(D29,Datos!$A$8:$A$22,0)),"Persona fuera del equipo. ","")))</f>
        <v/>
      </c>
      <c r="I29" s="21" t="n"/>
      <c r="J29" s="22" t="n"/>
      <c r="K29" s="23">
        <f>IF(G29="","",IF(J29&lt;&gt;"",MIN(J29,G29),IF(OR(I29="Observada",I29="Rechazada"),0,G29)))</f>
        <v/>
      </c>
      <c r="L29" s="24" t="n"/>
      <c r="M29" s="25">
        <f>IF(OR(A29="",D29=""),0,IF(COUNTIFS($A$2:A29,A29,$D$2:D29,D29)=1,1,0))</f>
        <v/>
      </c>
    </row>
    <row r="30">
      <c r="A30" s="26" t="n">
        <v>46244</v>
      </c>
      <c r="B30" s="27" t="n">
        <v>0.625</v>
      </c>
      <c r="C30" s="27" t="n">
        <v>0.6875</v>
      </c>
      <c r="D30" s="28" t="inlineStr">
        <is>
          <t>Luciano Carducci</t>
        </is>
      </c>
      <c r="E30" s="28" t="inlineStr">
        <is>
          <t>VictoriusCP2</t>
        </is>
      </c>
      <c r="F30" s="29" t="inlineStr">
        <is>
          <t>meet vcp3 Gob Cba.</t>
        </is>
      </c>
      <c r="G30" s="30" t="n">
        <v>1.5</v>
      </c>
      <c r="H30" s="20">
        <f>IF(A30="","",TRIM(IF(WEEKDAY(A30,2)&gt;5,"Fin de semana. ","")&amp;IF(SUMIFS($G$2:$G$601,$A$2:$A$601,A30,$D$2:$D$601,D30)&gt;9,"Más de 9 h en el día. ","")&amp;IF(AND(B30&lt;&gt;"",C30&lt;&gt;"",C30&lt;B30),"Cruza la medianoche. ","")&amp;IF(LEN(TRIM(F30))&lt;15,"Sin descripción suficiente. ","")&amp;IF(AND(ISERROR(SEARCH("R-0",F30)),ISERROR(SEARCH("CU-",F30))),"Sin ticket. ","")&amp;IF(ISNA(MATCH(E30,Datos!$E$8:$E$22,0)),"Proyecto sin valor hora. ","")&amp;IF(ISNA(MATCH(D30,Datos!$A$8:$A$22,0)),"Persona fuera del equipo. ","")))</f>
        <v/>
      </c>
      <c r="I30" s="21" t="n"/>
      <c r="J30" s="22" t="n"/>
      <c r="K30" s="23">
        <f>IF(G30="","",IF(J30&lt;&gt;"",MIN(J30,G30),IF(OR(I30="Observada",I30="Rechazada"),0,G30)))</f>
        <v/>
      </c>
      <c r="L30" s="24" t="n"/>
      <c r="M30" s="25">
        <f>IF(OR(A30="",D30=""),0,IF(COUNTIFS($A$2:A30,A30,$D$2:D30,D30)=1,1,0))</f>
        <v/>
      </c>
    </row>
    <row r="31">
      <c r="A31" s="26" t="n">
        <v>46244</v>
      </c>
      <c r="B31" s="27" t="n">
        <v>0.4166666666666667</v>
      </c>
      <c r="C31" s="27" t="n">
        <v>0.5</v>
      </c>
      <c r="D31" s="28" t="inlineStr">
        <is>
          <t>Matias Zalazar</t>
        </is>
      </c>
      <c r="E31" s="28" t="inlineStr">
        <is>
          <t>Subastas</t>
        </is>
      </c>
      <c r="F31" s="29" t="inlineStr">
        <is>
          <t>Merge - despliegue QA y PROD</t>
        </is>
      </c>
      <c r="G31" s="30" t="n">
        <v>2</v>
      </c>
      <c r="H31" s="20">
        <f>IF(A31="","",TRIM(IF(WEEKDAY(A31,2)&gt;5,"Fin de semana. ","")&amp;IF(SUMIFS($G$2:$G$601,$A$2:$A$601,A31,$D$2:$D$601,D31)&gt;9,"Más de 9 h en el día. ","")&amp;IF(AND(B31&lt;&gt;"",C31&lt;&gt;"",C31&lt;B31),"Cruza la medianoche. ","")&amp;IF(LEN(TRIM(F31))&lt;15,"Sin descripción suficiente. ","")&amp;IF(AND(ISERROR(SEARCH("R-0",F31)),ISERROR(SEARCH("CU-",F31))),"Sin ticket. ","")&amp;IF(ISNA(MATCH(E31,Datos!$E$8:$E$22,0)),"Proyecto sin valor hora. ","")&amp;IF(ISNA(MATCH(D31,Datos!$A$8:$A$22,0)),"Persona fuera del equipo. ","")))</f>
        <v/>
      </c>
      <c r="I31" s="21" t="n"/>
      <c r="J31" s="22" t="n"/>
      <c r="K31" s="23">
        <f>IF(G31="","",IF(J31&lt;&gt;"",MIN(J31,G31),IF(OR(I31="Observada",I31="Rechazada"),0,G31)))</f>
        <v/>
      </c>
      <c r="L31" s="24" t="n"/>
      <c r="M31" s="25">
        <f>IF(OR(A31="",D31=""),0,IF(COUNTIFS($A$2:A31,A31,$D$2:D31,D31)=1,1,0))</f>
        <v/>
      </c>
    </row>
    <row r="32">
      <c r="A32" s="26" t="n">
        <v>46245</v>
      </c>
      <c r="B32" s="27" t="n">
        <v>0.34375</v>
      </c>
      <c r="C32" s="27" t="n">
        <v>0.59375</v>
      </c>
      <c r="D32" s="28" t="inlineStr">
        <is>
          <t>Alexis Carnero</t>
        </is>
      </c>
      <c r="E32" s="28" t="inlineStr">
        <is>
          <t>SELICO</t>
        </is>
      </c>
      <c r="F32" s="29" t="inlineStr">
        <is>
          <t>Reunión "Revisar Sprint 11 Hito 2" (1 h) y daily. Fix del "ERROR EN RT" y verificación en desarrollo. Filtro de antecedentes acotado a Consultores con corte de decreto 2027-01-01, y ajuste posterior para que el "Certificado de Vigencia del Registro de Comercio" aparezca en inscripciones previas al decreto. Validación en Test. Verificación del incidente de documentación de socios en Constructores, Contratistas y Consultores.</t>
        </is>
      </c>
      <c r="G32" s="30" t="n">
        <v>6</v>
      </c>
      <c r="H32" s="20">
        <f>IF(A32="","",TRIM(IF(WEEKDAY(A32,2)&gt;5,"Fin de semana. ","")&amp;IF(SUMIFS($G$2:$G$601,$A$2:$A$601,A32,$D$2:$D$601,D32)&gt;9,"Más de 9 h en el día. ","")&amp;IF(AND(B32&lt;&gt;"",C32&lt;&gt;"",C32&lt;B32),"Cruza la medianoche. ","")&amp;IF(LEN(TRIM(F32))&lt;15,"Sin descripción suficiente. ","")&amp;IF(AND(ISERROR(SEARCH("R-0",F32)),ISERROR(SEARCH("CU-",F32))),"Sin ticket. ","")&amp;IF(ISNA(MATCH(E32,Datos!$E$8:$E$22,0)),"Proyecto sin valor hora. ","")&amp;IF(ISNA(MATCH(D32,Datos!$A$8:$A$22,0)),"Persona fuera del equipo. ","")))</f>
        <v/>
      </c>
      <c r="I32" s="21" t="n"/>
      <c r="J32" s="22" t="n"/>
      <c r="K32" s="23">
        <f>IF(G32="","",IF(J32&lt;&gt;"",MIN(J32,G32),IF(OR(I32="Observada",I32="Rechazada"),0,G32)))</f>
        <v/>
      </c>
      <c r="L32" s="24" t="n"/>
      <c r="M32" s="25">
        <f>IF(OR(A32="",D32=""),0,IF(COUNTIFS($A$2:A32,A32,$D$2:D32,D32)=1,1,0))</f>
        <v/>
      </c>
      <c r="N32"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33">
      <c r="A33" s="26" t="n">
        <v>46245</v>
      </c>
      <c r="B33" s="27" t="n">
        <v>0.5</v>
      </c>
      <c r="C33" s="27" t="n">
        <v>0.6666666666666666</v>
      </c>
      <c r="D33" s="28" t="inlineStr">
        <is>
          <t>Franco Dodera</t>
        </is>
      </c>
      <c r="E33" s="28" t="inlineStr">
        <is>
          <t>SELICO</t>
        </is>
      </c>
      <c r="F33" s="29" t="inlineStr">
        <is>
          <t>Revision fix, y nuevo bug de produccion solucionado, reunion con humberto</t>
        </is>
      </c>
      <c r="G33" s="30" t="n">
        <v>4</v>
      </c>
      <c r="H33" s="20">
        <f>IF(A33="","",TRIM(IF(WEEKDAY(A33,2)&gt;5,"Fin de semana. ","")&amp;IF(SUMIFS($G$2:$G$601,$A$2:$A$601,A33,$D$2:$D$601,D33)&gt;9,"Más de 9 h en el día. ","")&amp;IF(AND(B33&lt;&gt;"",C33&lt;&gt;"",C33&lt;B33),"Cruza la medianoche. ","")&amp;IF(LEN(TRIM(F33))&lt;15,"Sin descripción suficiente. ","")&amp;IF(AND(ISERROR(SEARCH("R-0",F33)),ISERROR(SEARCH("CU-",F33))),"Sin ticket. ","")&amp;IF(ISNA(MATCH(E33,Datos!$E$8:$E$22,0)),"Proyecto sin valor hora. ","")&amp;IF(ISNA(MATCH(D33,Datos!$A$8:$A$22,0)),"Persona fuera del equipo. ","")))</f>
        <v/>
      </c>
      <c r="I33" s="21" t="n"/>
      <c r="J33" s="22" t="n"/>
      <c r="K33" s="23">
        <f>IF(G33="","",IF(J33&lt;&gt;"",MIN(J33,G33),IF(OR(I33="Observada",I33="Rechazada"),0,G33)))</f>
        <v/>
      </c>
      <c r="L33" s="24" t="n"/>
      <c r="M33" s="25">
        <f>IF(OR(A33="",D33=""),0,IF(COUNTIFS($A$2:A33,A33,$D$2:D33,D33)=1,1,0))</f>
        <v/>
      </c>
    </row>
    <row r="34">
      <c r="A34" s="26" t="n">
        <v>46245</v>
      </c>
      <c r="B34" s="27" t="n">
        <v>0.59375</v>
      </c>
      <c r="C34" s="27" t="n">
        <v>0.9270833333333334</v>
      </c>
      <c r="D34" s="28" t="inlineStr">
        <is>
          <t>Gabriel Denis</t>
        </is>
      </c>
      <c r="E34" s="28" t="inlineStr">
        <is>
          <t>SELICO</t>
        </is>
      </c>
      <c r="F34" s="29" t="inlineStr">
        <is>
          <t>BUG-107 cerrado (4 rondas de debug); fix robusto a texto plano; Entregav23/24/25</t>
        </is>
      </c>
      <c r="G34" s="30" t="n">
        <v>8</v>
      </c>
      <c r="H34" s="20">
        <f>IF(A34="","",TRIM(IF(WEEKDAY(A34,2)&gt;5,"Fin de semana. ","")&amp;IF(SUMIFS($G$2:$G$601,$A$2:$A$601,A34,$D$2:$D$601,D34)&gt;9,"Más de 9 h en el día. ","")&amp;IF(AND(B34&lt;&gt;"",C34&lt;&gt;"",C34&lt;B34),"Cruza la medianoche. ","")&amp;IF(LEN(TRIM(F34))&lt;15,"Sin descripción suficiente. ","")&amp;IF(AND(ISERROR(SEARCH("R-0",F34)),ISERROR(SEARCH("CU-",F34))),"Sin ticket. ","")&amp;IF(ISNA(MATCH(E34,Datos!$E$8:$E$22,0)),"Proyecto sin valor hora. ","")&amp;IF(ISNA(MATCH(D34,Datos!$A$8:$A$22,0)),"Persona fuera del equipo. ","")))</f>
        <v/>
      </c>
      <c r="I34" s="21" t="n"/>
      <c r="J34" s="22" t="n"/>
      <c r="K34" s="23">
        <f>IF(G34="","",IF(J34&lt;&gt;"",MIN(J34,G34),IF(OR(I34="Observada",I34="Rechazada"),0,G34)))</f>
        <v/>
      </c>
      <c r="L34" s="24" t="n"/>
      <c r="M34" s="25">
        <f>IF(OR(A34="",D34=""),0,IF(COUNTIFS($A$2:A34,A34,$D$2:D34,D34)=1,1,0))</f>
        <v/>
      </c>
      <c r="N34"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35">
      <c r="A35" s="26" t="n">
        <v>46245</v>
      </c>
      <c r="B35" s="27" t="n">
        <v>0.5208333333333334</v>
      </c>
      <c r="C35" s="27" t="n">
        <v>0.6041666666666666</v>
      </c>
      <c r="D35" s="28" t="inlineStr">
        <is>
          <t>Matias Zalazar</t>
        </is>
      </c>
      <c r="E35" s="28" t="inlineStr">
        <is>
          <t>Subastas</t>
        </is>
      </c>
      <c r="F35" s="29" t="inlineStr">
        <is>
          <t>Ticket R-012349</t>
        </is>
      </c>
      <c r="G35" s="30" t="n">
        <v>2</v>
      </c>
      <c r="H35" s="20">
        <f>IF(A35="","",TRIM(IF(WEEKDAY(A35,2)&gt;5,"Fin de semana. ","")&amp;IF(SUMIFS($G$2:$G$601,$A$2:$A$601,A35,$D$2:$D$601,D35)&gt;9,"Más de 9 h en el día. ","")&amp;IF(AND(B35&lt;&gt;"",C35&lt;&gt;"",C35&lt;B35),"Cruza la medianoche. ","")&amp;IF(LEN(TRIM(F35))&lt;15,"Sin descripción suficiente. ","")&amp;IF(AND(ISERROR(SEARCH("R-0",F35)),ISERROR(SEARCH("CU-",F35))),"Sin ticket. ","")&amp;IF(ISNA(MATCH(E35,Datos!$E$8:$E$22,0)),"Proyecto sin valor hora. ","")&amp;IF(ISNA(MATCH(D35,Datos!$A$8:$A$22,0)),"Persona fuera del equipo. ","")))</f>
        <v/>
      </c>
      <c r="I35" s="21" t="n"/>
      <c r="J35" s="22" t="n"/>
      <c r="K35" s="23">
        <f>IF(G35="","",IF(J35&lt;&gt;"",MIN(J35,G35),IF(OR(I35="Observada",I35="Rechazada"),0,G35)))</f>
        <v/>
      </c>
      <c r="L35" s="24" t="n"/>
      <c r="M35" s="25">
        <f>IF(OR(A35="",D35=""),0,IF(COUNTIFS($A$2:A35,A35,$D$2:D35,D35)=1,1,0))</f>
        <v/>
      </c>
    </row>
    <row r="36">
      <c r="A36" s="26" t="n">
        <v>46246</v>
      </c>
      <c r="B36" s="27" t="n">
        <v>0.34375</v>
      </c>
      <c r="C36" s="27" t="n">
        <v>0.3854166666666667</v>
      </c>
      <c r="D36" s="28" t="inlineStr">
        <is>
          <t>Alexis Carnero</t>
        </is>
      </c>
      <c r="E36" s="28" t="inlineStr">
        <is>
          <t>SELICO</t>
        </is>
      </c>
      <c r="F36" s="29" t="inlineStr">
        <is>
          <t>Fix de producción sobre atr_modifica_socio.asp.</t>
        </is>
      </c>
      <c r="G36" s="30" t="n">
        <v>1</v>
      </c>
      <c r="H36" s="20">
        <f>IF(A36="","",TRIM(IF(WEEKDAY(A36,2)&gt;5,"Fin de semana. ","")&amp;IF(SUMIFS($G$2:$G$601,$A$2:$A$601,A36,$D$2:$D$601,D36)&gt;9,"Más de 9 h en el día. ","")&amp;IF(AND(B36&lt;&gt;"",C36&lt;&gt;"",C36&lt;B36),"Cruza la medianoche. ","")&amp;IF(LEN(TRIM(F36))&lt;15,"Sin descripción suficiente. ","")&amp;IF(AND(ISERROR(SEARCH("R-0",F36)),ISERROR(SEARCH("CU-",F36))),"Sin ticket. ","")&amp;IF(ISNA(MATCH(E36,Datos!$E$8:$E$22,0)),"Proyecto sin valor hora. ","")&amp;IF(ISNA(MATCH(D36,Datos!$A$8:$A$22,0)),"Persona fuera del equipo. ","")))</f>
        <v/>
      </c>
      <c r="I36" s="21" t="n"/>
      <c r="J36" s="22" t="n"/>
      <c r="K36" s="23">
        <f>IF(G36="","",IF(J36&lt;&gt;"",MIN(J36,G36),IF(OR(I36="Observada",I36="Rechazada"),0,G36)))</f>
        <v/>
      </c>
      <c r="L36" s="24" t="n"/>
      <c r="M36" s="25">
        <f>IF(OR(A36="",D36=""),0,IF(COUNTIFS($A$2:A36,A36,$D$2:D36,D36)=1,1,0))</f>
        <v/>
      </c>
      <c r="N36"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37" ht="25.5" customHeight="1">
      <c r="A37" s="26" t="n">
        <v>46246</v>
      </c>
      <c r="B37" s="27" t="n">
        <v>0.5</v>
      </c>
      <c r="C37" s="27" t="n">
        <v>0.6666666666666666</v>
      </c>
      <c r="D37" s="28" t="inlineStr">
        <is>
          <t>Franco Dodera</t>
        </is>
      </c>
      <c r="E37" s="28" t="inlineStr">
        <is>
          <t>SELICO</t>
        </is>
      </c>
      <c r="F37" s="29" t="inlineStr">
        <is>
          <t>Revision fix, bug resuelto, reunion con humberto</t>
        </is>
      </c>
      <c r="G37" s="30" t="n">
        <v>4</v>
      </c>
      <c r="H37" s="20">
        <f>IF(A37="","",TRIM(IF(WEEKDAY(A37,2)&gt;5,"Fin de semana. ","")&amp;IF(SUMIFS($G$2:$G$601,$A$2:$A$601,A37,$D$2:$D$601,D37)&gt;9,"Más de 9 h en el día. ","")&amp;IF(AND(B37&lt;&gt;"",C37&lt;&gt;"",C37&lt;B37),"Cruza la medianoche. ","")&amp;IF(LEN(TRIM(F37))&lt;15,"Sin descripción suficiente. ","")&amp;IF(AND(ISERROR(SEARCH("R-0",F37)),ISERROR(SEARCH("CU-",F37))),"Sin ticket. ","")&amp;IF(ISNA(MATCH(E37,Datos!$E$8:$E$22,0)),"Proyecto sin valor hora. ","")&amp;IF(ISNA(MATCH(D37,Datos!$A$8:$A$22,0)),"Persona fuera del equipo. ","")))</f>
        <v/>
      </c>
      <c r="I37" s="21" t="n"/>
      <c r="J37" s="22" t="n"/>
      <c r="K37" s="23">
        <f>IF(G37="","",IF(J37&lt;&gt;"",MIN(J37,G37),IF(OR(I37="Observada",I37="Rechazada"),0,G37)))</f>
        <v/>
      </c>
      <c r="L37" s="24" t="n"/>
      <c r="M37" s="25">
        <f>IF(OR(A37="",D37=""),0,IF(COUNTIFS($A$2:A37,A37,$D$2:D37,D37)=1,1,0))</f>
        <v/>
      </c>
    </row>
    <row r="38">
      <c r="A38" s="26" t="n">
        <v>46246</v>
      </c>
      <c r="B38" s="27" t="n">
        <v>0.3854166666666667</v>
      </c>
      <c r="C38" s="27" t="n">
        <v>0.5520833333333334</v>
      </c>
      <c r="D38" s="28" t="inlineStr">
        <is>
          <t>Gabriel Denis</t>
        </is>
      </c>
      <c r="E38" s="28" t="inlineStr">
        <is>
          <t>SELICO</t>
        </is>
      </c>
      <c r="F38" s="29" t="inlineStr">
        <is>
          <t>Ticket traspaso Req27 CambioCategoria; Entregav26</t>
        </is>
      </c>
      <c r="G38" s="30" t="n">
        <v>4</v>
      </c>
      <c r="H38" s="20">
        <f>IF(A38="","",TRIM(IF(WEEKDAY(A38,2)&gt;5,"Fin de semana. ","")&amp;IF(SUMIFS($G$2:$G$601,$A$2:$A$601,A38,$D$2:$D$601,D38)&gt;9,"Más de 9 h en el día. ","")&amp;IF(AND(B38&lt;&gt;"",C38&lt;&gt;"",C38&lt;B38),"Cruza la medianoche. ","")&amp;IF(LEN(TRIM(F38))&lt;15,"Sin descripción suficiente. ","")&amp;IF(AND(ISERROR(SEARCH("R-0",F38)),ISERROR(SEARCH("CU-",F38))),"Sin ticket. ","")&amp;IF(ISNA(MATCH(E38,Datos!$E$8:$E$22,0)),"Proyecto sin valor hora. ","")&amp;IF(ISNA(MATCH(D38,Datos!$A$8:$A$22,0)),"Persona fuera del equipo. ","")))</f>
        <v/>
      </c>
      <c r="I38" s="21" t="n"/>
      <c r="J38" s="22" t="n"/>
      <c r="K38" s="23">
        <f>IF(G38="","",IF(J38&lt;&gt;"",MIN(J38,G38),IF(OR(I38="Observada",I38="Rechazada"),0,G38)))</f>
        <v/>
      </c>
      <c r="L38" s="24" t="n"/>
      <c r="M38" s="25">
        <f>IF(OR(A38="",D38=""),0,IF(COUNTIFS($A$2:A38,A38,$D$2:D38,D38)=1,1,0))</f>
        <v/>
      </c>
      <c r="N38"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39">
      <c r="A39" s="26" t="n">
        <v>46246</v>
      </c>
      <c r="B39" s="27" t="n">
        <v>0.4166666666666667</v>
      </c>
      <c r="C39" s="27" t="n">
        <v>0.4270833333333333</v>
      </c>
      <c r="D39" s="28" t="inlineStr">
        <is>
          <t>Luciano Carducci</t>
        </is>
      </c>
      <c r="E39" s="28" t="inlineStr">
        <is>
          <t>VictoriusCP2</t>
        </is>
      </c>
      <c r="F39" s="29" t="inlineStr">
        <is>
          <t>meet semanal vcp3 Gob Cba.</t>
        </is>
      </c>
      <c r="G39" s="30" t="n">
        <v>0.25</v>
      </c>
      <c r="H39" s="20">
        <f>IF(A39="","",TRIM(IF(WEEKDAY(A39,2)&gt;5,"Fin de semana. ","")&amp;IF(SUMIFS($G$2:$G$601,$A$2:$A$601,A39,$D$2:$D$601,D39)&gt;9,"Más de 9 h en el día. ","")&amp;IF(AND(B39&lt;&gt;"",C39&lt;&gt;"",C39&lt;B39),"Cruza la medianoche. ","")&amp;IF(LEN(TRIM(F39))&lt;15,"Sin descripción suficiente. ","")&amp;IF(AND(ISERROR(SEARCH("R-0",F39)),ISERROR(SEARCH("CU-",F39))),"Sin ticket. ","")&amp;IF(ISNA(MATCH(E39,Datos!$E$8:$E$22,0)),"Proyecto sin valor hora. ","")&amp;IF(ISNA(MATCH(D39,Datos!$A$8:$A$22,0)),"Persona fuera del equipo. ","")))</f>
        <v/>
      </c>
      <c r="I39" s="21" t="n"/>
      <c r="J39" s="22" t="n"/>
      <c r="K39" s="23">
        <f>IF(G39="","",IF(J39&lt;&gt;"",MIN(J39,G39),IF(OR(I39="Observada",I39="Rechazada"),0,G39)))</f>
        <v/>
      </c>
      <c r="L39" s="24" t="n"/>
      <c r="M39" s="25">
        <f>IF(OR(A39="",D39=""),0,IF(COUNTIFS($A$2:A39,A39,$D$2:D39,D39)=1,1,0))</f>
        <v/>
      </c>
    </row>
    <row r="40">
      <c r="A40" s="26" t="n">
        <v>46246</v>
      </c>
      <c r="B40" s="27" t="n">
        <v>0.75</v>
      </c>
      <c r="C40" s="27" t="n">
        <v>0.8333333333333334</v>
      </c>
      <c r="D40" s="28" t="inlineStr">
        <is>
          <t>Matias Zalazar</t>
        </is>
      </c>
      <c r="E40" s="28" t="inlineStr">
        <is>
          <t>Subastas</t>
        </is>
      </c>
      <c r="F40" s="29" t="inlineStr">
        <is>
          <t>Ticket R-012379</t>
        </is>
      </c>
      <c r="G40" s="30" t="n">
        <v>2</v>
      </c>
      <c r="H40" s="20">
        <f>IF(A40="","",TRIM(IF(WEEKDAY(A40,2)&gt;5,"Fin de semana. ","")&amp;IF(SUMIFS($G$2:$G$601,$A$2:$A$601,A40,$D$2:$D$601,D40)&gt;9,"Más de 9 h en el día. ","")&amp;IF(AND(B40&lt;&gt;"",C40&lt;&gt;"",C40&lt;B40),"Cruza la medianoche. ","")&amp;IF(LEN(TRIM(F40))&lt;15,"Sin descripción suficiente. ","")&amp;IF(AND(ISERROR(SEARCH("R-0",F40)),ISERROR(SEARCH("CU-",F40))),"Sin ticket. ","")&amp;IF(ISNA(MATCH(E40,Datos!$E$8:$E$22,0)),"Proyecto sin valor hora. ","")&amp;IF(ISNA(MATCH(D40,Datos!$A$8:$A$22,0)),"Persona fuera del equipo. ","")))</f>
        <v/>
      </c>
      <c r="I40" s="21" t="n"/>
      <c r="J40" s="22" t="n"/>
      <c r="K40" s="23">
        <f>IF(G40="","",IF(J40&lt;&gt;"",MIN(J40,G40),IF(OR(I40="Observada",I40="Rechazada"),0,G40)))</f>
        <v/>
      </c>
      <c r="L40" s="24" t="n"/>
      <c r="M40" s="25">
        <f>IF(OR(A40="",D40=""),0,IF(COUNTIFS($A$2:A40,A40,$D$2:D40,D40)=1,1,0))</f>
        <v/>
      </c>
    </row>
    <row r="41" ht="25.5" customHeight="1">
      <c r="A41" s="26" t="n">
        <v>46247</v>
      </c>
      <c r="B41" s="27" t="n">
        <v>0.34375</v>
      </c>
      <c r="C41" s="27" t="n">
        <v>0.4270833333333333</v>
      </c>
      <c r="D41" s="28" t="inlineStr">
        <is>
          <t>Alexis Carnero</t>
        </is>
      </c>
      <c r="E41" s="28" t="inlineStr">
        <is>
          <t>SELICO</t>
        </is>
      </c>
      <c r="F41" s="29" t="inlineStr">
        <is>
          <t>Reunión "RRTT - Revisión de Incidencias en Producción" (1 h). Entregav31: BUG-109 (Type mismatch cal_jur), BUG-110 (acentos y caracteres corruptos en el Informe Jurídico), error ASP 0140 por @LANGUAGE duplicado y ajuste de los límites de Fecha de Nacimiento y Constitución.</t>
        </is>
      </c>
      <c r="G41" s="30" t="n">
        <v>2</v>
      </c>
      <c r="H41" s="20">
        <f>IF(A41="","",TRIM(IF(WEEKDAY(A41,2)&gt;5,"Fin de semana. ","")&amp;IF(SUMIFS($G$2:$G$601,$A$2:$A$601,A41,$D$2:$D$601,D41)&gt;9,"Más de 9 h en el día. ","")&amp;IF(AND(B41&lt;&gt;"",C41&lt;&gt;"",C41&lt;B41),"Cruza la medianoche. ","")&amp;IF(LEN(TRIM(F41))&lt;15,"Sin descripción suficiente. ","")&amp;IF(AND(ISERROR(SEARCH("R-0",F41)),ISERROR(SEARCH("CU-",F41))),"Sin ticket. ","")&amp;IF(ISNA(MATCH(E41,Datos!$E$8:$E$22,0)),"Proyecto sin valor hora. ","")&amp;IF(ISNA(MATCH(D41,Datos!$A$8:$A$22,0)),"Persona fuera del equipo. ","")))</f>
        <v/>
      </c>
      <c r="I41" s="21" t="n"/>
      <c r="J41" s="22" t="n"/>
      <c r="K41" s="23">
        <f>IF(G41="","",IF(J41&lt;&gt;"",MIN(J41,G41),IF(OR(I41="Observada",I41="Rechazada"),0,G41)))</f>
        <v/>
      </c>
      <c r="L41" s="24" t="n"/>
      <c r="M41" s="25">
        <f>IF(OR(A41="",D41=""),0,IF(COUNTIFS($A$2:A41,A41,$D$2:D41,D41)=1,1,0))</f>
        <v/>
      </c>
      <c r="N41"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42" ht="25.5" customHeight="1">
      <c r="A42" s="26" t="n">
        <v>46247</v>
      </c>
      <c r="B42" s="27" t="n">
        <v>0.5</v>
      </c>
      <c r="C42" s="27" t="n">
        <v>0.6666666666666666</v>
      </c>
      <c r="D42" s="28" t="inlineStr">
        <is>
          <t>Franco Dodera</t>
        </is>
      </c>
      <c r="E42" s="28" t="inlineStr">
        <is>
          <t>SELICO</t>
        </is>
      </c>
      <c r="F42" s="29" t="inlineStr">
        <is>
          <t>Correccion de bugs de produccion</t>
        </is>
      </c>
      <c r="G42" s="30" t="n">
        <v>4</v>
      </c>
      <c r="H42" s="20">
        <f>IF(A42="","",TRIM(IF(WEEKDAY(A42,2)&gt;5,"Fin de semana. ","")&amp;IF(SUMIFS($G$2:$G$601,$A$2:$A$601,A42,$D$2:$D$601,D42)&gt;9,"Más de 9 h en el día. ","")&amp;IF(AND(B42&lt;&gt;"",C42&lt;&gt;"",C42&lt;B42),"Cruza la medianoche. ","")&amp;IF(LEN(TRIM(F42))&lt;15,"Sin descripción suficiente. ","")&amp;IF(AND(ISERROR(SEARCH("R-0",F42)),ISERROR(SEARCH("CU-",F42))),"Sin ticket. ","")&amp;IF(ISNA(MATCH(E42,Datos!$E$8:$E$22,0)),"Proyecto sin valor hora. ","")&amp;IF(ISNA(MATCH(D42,Datos!$A$8:$A$22,0)),"Persona fuera del equipo. ","")))</f>
        <v/>
      </c>
      <c r="I42" s="21" t="n"/>
      <c r="J42" s="22" t="n"/>
      <c r="K42" s="23">
        <f>IF(G42="","",IF(J42&lt;&gt;"",MIN(J42,G42),IF(OR(I42="Observada",I42="Rechazada"),0,G42)))</f>
        <v/>
      </c>
      <c r="L42" s="24" t="n"/>
      <c r="M42" s="25">
        <f>IF(OR(A42="",D42=""),0,IF(COUNTIFS($A$2:A42,A42,$D$2:D42,D42)=1,1,0))</f>
        <v/>
      </c>
    </row>
    <row r="43" ht="25.5" customHeight="1">
      <c r="A43" s="26" t="n">
        <v>46247</v>
      </c>
      <c r="B43" s="27" t="n">
        <v>0.4270833333333333</v>
      </c>
      <c r="C43" s="27" t="n">
        <v>0.7604166666666666</v>
      </c>
      <c r="D43" s="28" t="inlineStr">
        <is>
          <t>Gabriel Denis</t>
        </is>
      </c>
      <c r="E43" s="28" t="inlineStr">
        <is>
          <t>SELICO</t>
        </is>
      </c>
      <c r="F43" s="29" t="inlineStr">
        <is>
          <t>Informe Jurídico: BUG-19/108/109/110; fecha nacimiento/constitución 1920/1880 urgente; BUG-111 consolidado (3 hallazgos nuevos); reorganiza docs Hito 3</t>
        </is>
      </c>
      <c r="G43" s="30" t="n">
        <v>8</v>
      </c>
      <c r="H43" s="20">
        <f>IF(A43="","",TRIM(IF(WEEKDAY(A43,2)&gt;5,"Fin de semana. ","")&amp;IF(SUMIFS($G$2:$G$601,$A$2:$A$601,A43,$D$2:$D$601,D43)&gt;9,"Más de 9 h en el día. ","")&amp;IF(AND(B43&lt;&gt;"",C43&lt;&gt;"",C43&lt;B43),"Cruza la medianoche. ","")&amp;IF(LEN(TRIM(F43))&lt;15,"Sin descripción suficiente. ","")&amp;IF(AND(ISERROR(SEARCH("R-0",F43)),ISERROR(SEARCH("CU-",F43))),"Sin ticket. ","")&amp;IF(ISNA(MATCH(E43,Datos!$E$8:$E$22,0)),"Proyecto sin valor hora. ","")&amp;IF(ISNA(MATCH(D43,Datos!$A$8:$A$22,0)),"Persona fuera del equipo. ","")))</f>
        <v/>
      </c>
      <c r="I43" s="21" t="n"/>
      <c r="J43" s="22" t="n"/>
      <c r="K43" s="23">
        <f>IF(G43="","",IF(J43&lt;&gt;"",MIN(J43,G43),IF(OR(I43="Observada",I43="Rechazada"),0,G43)))</f>
        <v/>
      </c>
      <c r="L43" s="24" t="n"/>
      <c r="M43" s="25">
        <f>IF(OR(A43="",D43=""),0,IF(COUNTIFS($A$2:A43,A43,$D$2:D43,D43)=1,1,0))</f>
        <v/>
      </c>
      <c r="N43"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44" ht="25.5" customHeight="1">
      <c r="A44" s="26" t="n">
        <v>46248</v>
      </c>
      <c r="B44" s="27" t="n">
        <v>0.34375</v>
      </c>
      <c r="C44" s="27" t="n">
        <v>0.6145833333333334</v>
      </c>
      <c r="D44" s="28" t="inlineStr">
        <is>
          <t>Alexis Carnero</t>
        </is>
      </c>
      <c r="E44" s="28" t="inlineStr">
        <is>
          <t>SELICO</t>
        </is>
      </c>
      <c r="F44" s="29" t="inlineStr">
        <is>
          <t>Entrega urgente del listado de componentes y scripts del Hito 3 / Sprint 11 para paso a Producción. Diagnóstico y corrección del error de integración PPTT-RRTT en el ingreso de solicitudes de Contratistas: el repositorio Azure de la API estaba desactualizado respecto del binario en servicio. Verificación de que el mismo fix cubre un segundo error reportado. Revisión Entregav27-32 y corrección de 3 corrupciones no reportadas.</t>
        </is>
      </c>
      <c r="G44" s="30" t="n">
        <v>6.5</v>
      </c>
      <c r="H44" s="20">
        <f>IF(A44="","",TRIM(IF(WEEKDAY(A44,2)&gt;5,"Fin de semana. ","")&amp;IF(SUMIFS($G$2:$G$601,$A$2:$A$601,A44,$D$2:$D$601,D44)&gt;9,"Más de 9 h en el día. ","")&amp;IF(AND(B44&lt;&gt;"",C44&lt;&gt;"",C44&lt;B44),"Cruza la medianoche. ","")&amp;IF(LEN(TRIM(F44))&lt;15,"Sin descripción suficiente. ","")&amp;IF(AND(ISERROR(SEARCH("R-0",F44)),ISERROR(SEARCH("CU-",F44))),"Sin ticket. ","")&amp;IF(ISNA(MATCH(E44,Datos!$E$8:$E$22,0)),"Proyecto sin valor hora. ","")&amp;IF(ISNA(MATCH(D44,Datos!$A$8:$A$22,0)),"Persona fuera del equipo. ","")))</f>
        <v/>
      </c>
      <c r="I44" s="21" t="n"/>
      <c r="J44" s="22" t="n"/>
      <c r="K44" s="23">
        <f>IF(G44="","",IF(J44&lt;&gt;"",MIN(J44,G44),IF(OR(I44="Observada",I44="Rechazada"),0,G44)))</f>
        <v/>
      </c>
      <c r="L44" s="24" t="n"/>
      <c r="M44" s="25">
        <f>IF(OR(A44="",D44=""),0,IF(COUNTIFS($A$2:A44,A44,$D$2:D44,D44)=1,1,0))</f>
        <v/>
      </c>
      <c r="N44"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45">
      <c r="A45" s="26" t="n">
        <v>46248</v>
      </c>
      <c r="B45" s="27" t="n">
        <v>0.5</v>
      </c>
      <c r="C45" s="27" t="n">
        <v>0.6666666666666666</v>
      </c>
      <c r="D45" s="28" t="inlineStr">
        <is>
          <t>Franco Dodera</t>
        </is>
      </c>
      <c r="E45" s="28" t="inlineStr">
        <is>
          <t>SELICO</t>
        </is>
      </c>
      <c r="F45" s="29" t="inlineStr">
        <is>
          <t>Desarrollo y comienzo de verificacion tabla RUBRO_ESPECIALIDAD... DW_MINVU</t>
        </is>
      </c>
      <c r="G45" s="30" t="n">
        <v>4</v>
      </c>
      <c r="H45" s="20">
        <f>IF(A45="","",TRIM(IF(WEEKDAY(A45,2)&gt;5,"Fin de semana. ","")&amp;IF(SUMIFS($G$2:$G$601,$A$2:$A$601,A45,$D$2:$D$601,D45)&gt;9,"Más de 9 h en el día. ","")&amp;IF(AND(B45&lt;&gt;"",C45&lt;&gt;"",C45&lt;B45),"Cruza la medianoche. ","")&amp;IF(LEN(TRIM(F45))&lt;15,"Sin descripción suficiente. ","")&amp;IF(AND(ISERROR(SEARCH("R-0",F45)),ISERROR(SEARCH("CU-",F45))),"Sin ticket. ","")&amp;IF(ISNA(MATCH(E45,Datos!$E$8:$E$22,0)),"Proyecto sin valor hora. ","")&amp;IF(ISNA(MATCH(D45,Datos!$A$8:$A$22,0)),"Persona fuera del equipo. ","")))</f>
        <v/>
      </c>
      <c r="I45" s="21" t="n"/>
      <c r="J45" s="22" t="n"/>
      <c r="K45" s="23">
        <f>IF(G45="","",IF(J45&lt;&gt;"",MIN(J45,G45),IF(OR(I45="Observada",I45="Rechazada"),0,G45)))</f>
        <v/>
      </c>
      <c r="L45" s="24" t="n"/>
      <c r="M45" s="25">
        <f>IF(OR(A45="",D45=""),0,IF(COUNTIFS($A$2:A45,A45,$D$2:D45,D45)=1,1,0))</f>
        <v/>
      </c>
    </row>
    <row r="46" ht="25.5" customHeight="1">
      <c r="A46" s="26" t="n">
        <v>46248</v>
      </c>
      <c r="B46" s="27" t="n">
        <v>0.6145833333333334</v>
      </c>
      <c r="C46" s="27" t="n">
        <v>0.8645833333333334</v>
      </c>
      <c r="D46" s="28" t="inlineStr">
        <is>
          <t>Gabriel Denis</t>
        </is>
      </c>
      <c r="E46" s="28" t="inlineStr">
        <is>
          <t>SELICO</t>
        </is>
      </c>
      <c r="F46" s="29" t="inlineStr">
        <is>
          <t>Continuación: BUG-112/113/114; Entregav32/v33; mail aviso Entregav32-v33</t>
        </is>
      </c>
      <c r="G46" s="30" t="n">
        <v>6</v>
      </c>
      <c r="H46" s="20">
        <f>IF(A46="","",TRIM(IF(WEEKDAY(A46,2)&gt;5,"Fin de semana. ","")&amp;IF(SUMIFS($G$2:$G$601,$A$2:$A$601,A46,$D$2:$D$601,D46)&gt;9,"Más de 9 h en el día. ","")&amp;IF(AND(B46&lt;&gt;"",C46&lt;&gt;"",C46&lt;B46),"Cruza la medianoche. ","")&amp;IF(LEN(TRIM(F46))&lt;15,"Sin descripción suficiente. ","")&amp;IF(AND(ISERROR(SEARCH("R-0",F46)),ISERROR(SEARCH("CU-",F46))),"Sin ticket. ","")&amp;IF(ISNA(MATCH(E46,Datos!$E$8:$E$22,0)),"Proyecto sin valor hora. ","")&amp;IF(ISNA(MATCH(D46,Datos!$A$8:$A$22,0)),"Persona fuera del equipo. ","")))</f>
        <v/>
      </c>
      <c r="I46" s="21" t="n"/>
      <c r="J46" s="22" t="n"/>
      <c r="K46" s="23">
        <f>IF(G46="","",IF(J46&lt;&gt;"",MIN(J46,G46),IF(OR(I46="Observada",I46="Rechazada"),0,G46)))</f>
        <v/>
      </c>
      <c r="L46" s="24" t="n"/>
      <c r="M46" s="25">
        <f>IF(OR(A46="",D46=""),0,IF(COUNTIFS($A$2:A46,A46,$D$2:D46,D46)=1,1,0))</f>
        <v/>
      </c>
      <c r="N46"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47" ht="25.5" customHeight="1">
      <c r="A47" s="26" t="n">
        <v>46248</v>
      </c>
      <c r="B47" s="27" t="n">
        <v>0.6875</v>
      </c>
      <c r="C47" s="27" t="n">
        <v>0.7291666666666666</v>
      </c>
      <c r="D47" s="28" t="inlineStr">
        <is>
          <t>Matias Zalazar</t>
        </is>
      </c>
      <c r="E47" s="28" t="inlineStr">
        <is>
          <t>Subastas</t>
        </is>
      </c>
      <c r="F47" s="29" t="inlineStr">
        <is>
          <t>Ticket R-012399</t>
        </is>
      </c>
      <c r="G47" s="30" t="n">
        <v>1</v>
      </c>
      <c r="H47" s="20">
        <f>IF(A47="","",TRIM(IF(WEEKDAY(A47,2)&gt;5,"Fin de semana. ","")&amp;IF(SUMIFS($G$2:$G$601,$A$2:$A$601,A47,$D$2:$D$601,D47)&gt;9,"Más de 9 h en el día. ","")&amp;IF(AND(B47&lt;&gt;"",C47&lt;&gt;"",C47&lt;B47),"Cruza la medianoche. ","")&amp;IF(LEN(TRIM(F47))&lt;15,"Sin descripción suficiente. ","")&amp;IF(AND(ISERROR(SEARCH("R-0",F47)),ISERROR(SEARCH("CU-",F47))),"Sin ticket. ","")&amp;IF(ISNA(MATCH(E47,Datos!$E$8:$E$22,0)),"Proyecto sin valor hora. ","")&amp;IF(ISNA(MATCH(D47,Datos!$A$8:$A$22,0)),"Persona fuera del equipo. ","")))</f>
        <v/>
      </c>
      <c r="I47" s="21" t="n"/>
      <c r="J47" s="22" t="n"/>
      <c r="K47" s="23">
        <f>IF(G47="","",IF(J47&lt;&gt;"",MIN(J47,G47),IF(OR(I47="Observada",I47="Rechazada"),0,G47)))</f>
        <v/>
      </c>
      <c r="L47" s="24" t="n"/>
      <c r="M47" s="25">
        <f>IF(OR(A47="",D47=""),0,IF(COUNTIFS($A$2:A47,A47,$D$2:D47,D47)=1,1,0))</f>
        <v/>
      </c>
    </row>
    <row r="48">
      <c r="A48" s="26" t="n">
        <v>46251</v>
      </c>
      <c r="B48" s="27" t="n">
        <v>0.34375</v>
      </c>
      <c r="C48" s="27" t="n">
        <v>0.3854166666666667</v>
      </c>
      <c r="D48" s="28" t="inlineStr">
        <is>
          <t>Alexis Carnero</t>
        </is>
      </c>
      <c r="E48" s="28" t="inlineStr">
        <is>
          <t>SELICO</t>
        </is>
      </c>
      <c r="F48" s="29" t="inlineStr">
        <is>
          <t>Recepción y primer análisis del incidente "Error en Informe Jurídico, Rol SEREMI", reportado desde Producción por varias regiones.</t>
        </is>
      </c>
      <c r="G48" s="30" t="n">
        <v>1</v>
      </c>
      <c r="H48" s="20">
        <f>IF(A48="","",TRIM(IF(WEEKDAY(A48,2)&gt;5,"Fin de semana. ","")&amp;IF(SUMIFS($G$2:$G$601,$A$2:$A$601,A48,$D$2:$D$601,D48)&gt;9,"Más de 9 h en el día. ","")&amp;IF(AND(B48&lt;&gt;"",C48&lt;&gt;"",C48&lt;B48),"Cruza la medianoche. ","")&amp;IF(LEN(TRIM(F48))&lt;15,"Sin descripción suficiente. ","")&amp;IF(AND(ISERROR(SEARCH("R-0",F48)),ISERROR(SEARCH("CU-",F48))),"Sin ticket. ","")&amp;IF(ISNA(MATCH(E48,Datos!$E$8:$E$22,0)),"Proyecto sin valor hora. ","")&amp;IF(ISNA(MATCH(D48,Datos!$A$8:$A$22,0)),"Persona fuera del equipo. ","")))</f>
        <v/>
      </c>
      <c r="I48" s="21" t="n"/>
      <c r="J48" s="22" t="n"/>
      <c r="K48" s="23">
        <f>IF(G48="","",IF(J48&lt;&gt;"",MIN(J48,G48),IF(OR(I48="Observada",I48="Rechazada"),0,G48)))</f>
        <v/>
      </c>
      <c r="L48" s="24" t="n"/>
      <c r="M48" s="25">
        <f>IF(OR(A48="",D48=""),0,IF(COUNTIFS($A$2:A48,A48,$D$2:D48,D48)=1,1,0))</f>
        <v/>
      </c>
    </row>
    <row r="49" ht="25.5" customHeight="1">
      <c r="A49" s="26" t="n">
        <v>46251</v>
      </c>
      <c r="B49" s="27" t="n">
        <v>0.5</v>
      </c>
      <c r="C49" s="27" t="n">
        <v>0.5833333333333334</v>
      </c>
      <c r="D49" s="28" t="inlineStr">
        <is>
          <t>Matias Zalazar</t>
        </is>
      </c>
      <c r="E49" s="28" t="inlineStr">
        <is>
          <t>Subastas</t>
        </is>
      </c>
      <c r="F49" s="29" t="inlineStr">
        <is>
          <t>Error en la visualizacion del lote 356</t>
        </is>
      </c>
      <c r="G49" s="30" t="n">
        <v>2</v>
      </c>
      <c r="H49" s="20">
        <f>IF(A49="","",TRIM(IF(WEEKDAY(A49,2)&gt;5,"Fin de semana. ","")&amp;IF(SUMIFS($G$2:$G$601,$A$2:$A$601,A49,$D$2:$D$601,D49)&gt;9,"Más de 9 h en el día. ","")&amp;IF(AND(B49&lt;&gt;"",C49&lt;&gt;"",C49&lt;B49),"Cruza la medianoche. ","")&amp;IF(LEN(TRIM(F49))&lt;15,"Sin descripción suficiente. ","")&amp;IF(AND(ISERROR(SEARCH("R-0",F49)),ISERROR(SEARCH("CU-",F49))),"Sin ticket. ","")&amp;IF(ISNA(MATCH(E49,Datos!$E$8:$E$22,0)),"Proyecto sin valor hora. ","")&amp;IF(ISNA(MATCH(D49,Datos!$A$8:$A$22,0)),"Persona fuera del equipo. ","")))</f>
        <v/>
      </c>
      <c r="I49" s="21" t="n"/>
      <c r="J49" s="22" t="n"/>
      <c r="K49" s="23">
        <f>IF(G49="","",IF(J49&lt;&gt;"",MIN(J49,G49),IF(OR(I49="Observada",I49="Rechazada"),0,G49)))</f>
        <v/>
      </c>
      <c r="L49" s="24" t="n"/>
      <c r="M49" s="25">
        <f>IF(OR(A49="",D49=""),0,IF(COUNTIFS($A$2:A49,A49,$D$2:D49,D49)=1,1,0))</f>
        <v/>
      </c>
    </row>
    <row r="50" ht="25.5" customHeight="1">
      <c r="A50" s="26" t="n">
        <v>46252</v>
      </c>
      <c r="B50" s="27" t="n">
        <v>0.34375</v>
      </c>
      <c r="C50" s="27" t="n">
        <v>0.3854166666666667</v>
      </c>
      <c r="D50" s="28" t="inlineStr">
        <is>
          <t>Alexis Carnero</t>
        </is>
      </c>
      <c r="E50" s="28" t="inlineStr">
        <is>
          <t>SELICO</t>
        </is>
      </c>
      <c r="F50" s="29" t="inlineStr">
        <is>
          <t>Reunión "Informo falla en sistema RT" (30 min). BUG-115: diagnóstico del desborde de Integer en el DLL VB6 al modificar informes con ID superior a 32.767, y reemplazo por el SP USP_UPD_INFORME_JURIDICO. Revisión del ETL del Observatorio (Power BI) y del paquete SSIS.</t>
        </is>
      </c>
      <c r="G50" s="30" t="n">
        <v>1</v>
      </c>
      <c r="H50" s="20">
        <f>IF(A50="","",TRIM(IF(WEEKDAY(A50,2)&gt;5,"Fin de semana. ","")&amp;IF(SUMIFS($G$2:$G$601,$A$2:$A$601,A50,$D$2:$D$601,D50)&gt;9,"Más de 9 h en el día. ","")&amp;IF(AND(B50&lt;&gt;"",C50&lt;&gt;"",C50&lt;B50),"Cruza la medianoche. ","")&amp;IF(LEN(TRIM(F50))&lt;15,"Sin descripción suficiente. ","")&amp;IF(AND(ISERROR(SEARCH("R-0",F50)),ISERROR(SEARCH("CU-",F50))),"Sin ticket. ","")&amp;IF(ISNA(MATCH(E50,Datos!$E$8:$E$22,0)),"Proyecto sin valor hora. ","")&amp;IF(ISNA(MATCH(D50,Datos!$A$8:$A$22,0)),"Persona fuera del equipo. ","")))</f>
        <v/>
      </c>
      <c r="I50" s="21" t="n"/>
      <c r="J50" s="22" t="n"/>
      <c r="K50" s="23">
        <f>IF(G50="","",IF(J50&lt;&gt;"",MIN(J50,G50),IF(OR(I50="Observada",I50="Rechazada"),0,G50)))</f>
        <v/>
      </c>
      <c r="L50" s="24" t="n"/>
      <c r="M50" s="25">
        <f>IF(OR(A50="",D50=""),0,IF(COUNTIFS($A$2:A50,A50,$D$2:D50,D50)=1,1,0))</f>
        <v/>
      </c>
      <c r="N50"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51" ht="25.5" customHeight="1">
      <c r="A51" s="26" t="n">
        <v>46252</v>
      </c>
      <c r="B51" s="27" t="n">
        <v>0.5</v>
      </c>
      <c r="C51" s="27" t="n">
        <v>0.7916666666666666</v>
      </c>
      <c r="D51" s="28" t="inlineStr">
        <is>
          <t>Franco Dodera</t>
        </is>
      </c>
      <c r="E51" s="28" t="inlineStr">
        <is>
          <t>SELICO</t>
        </is>
      </c>
      <c r="F51" s="29" t="inlineStr">
        <is>
          <t>Modificacion ETL, mas scripts de ejecucion para poder parametrizar BD de DW_MINVU con respecto a Registros Tecnicos</t>
        </is>
      </c>
      <c r="G51" s="30" t="n">
        <v>7</v>
      </c>
      <c r="H51" s="20">
        <f>IF(A51="","",TRIM(IF(WEEKDAY(A51,2)&gt;5,"Fin de semana. ","")&amp;IF(SUMIFS($G$2:$G$601,$A$2:$A$601,A51,$D$2:$D$601,D51)&gt;9,"Más de 9 h en el día. ","")&amp;IF(AND(B51&lt;&gt;"",C51&lt;&gt;"",C51&lt;B51),"Cruza la medianoche. ","")&amp;IF(LEN(TRIM(F51))&lt;15,"Sin descripción suficiente. ","")&amp;IF(AND(ISERROR(SEARCH("R-0",F51)),ISERROR(SEARCH("CU-",F51))),"Sin ticket. ","")&amp;IF(ISNA(MATCH(E51,Datos!$E$8:$E$22,0)),"Proyecto sin valor hora. ","")&amp;IF(ISNA(MATCH(D51,Datos!$A$8:$A$22,0)),"Persona fuera del equipo. ","")))</f>
        <v/>
      </c>
      <c r="I51" s="21" t="n"/>
      <c r="J51" s="22" t="n"/>
      <c r="K51" s="23">
        <f>IF(G51="","",IF(J51&lt;&gt;"",MIN(J51,G51),IF(OR(I51="Observada",I51="Rechazada"),0,G51)))</f>
        <v/>
      </c>
      <c r="L51" s="24" t="n"/>
      <c r="M51" s="25">
        <f>IF(OR(A51="",D51=""),0,IF(COUNTIFS($A$2:A51,A51,$D$2:D51,D51)=1,1,0))</f>
        <v/>
      </c>
    </row>
    <row r="52">
      <c r="A52" s="26" t="n">
        <v>46252</v>
      </c>
      <c r="B52" s="27" t="n">
        <v>0.3854166666666667</v>
      </c>
      <c r="C52" s="27" t="n">
        <v>0.5520833333333334</v>
      </c>
      <c r="D52" s="28" t="inlineStr">
        <is>
          <t>Gabriel Denis</t>
        </is>
      </c>
      <c r="E52" s="28" t="inlineStr">
        <is>
          <t>SELICO</t>
        </is>
      </c>
      <c r="F52" s="29" t="inlineStr">
        <is>
          <t>BUG-115  Entregav35</t>
        </is>
      </c>
      <c r="G52" s="30" t="n">
        <v>4</v>
      </c>
      <c r="H52" s="20">
        <f>IF(A52="","",TRIM(IF(WEEKDAY(A52,2)&gt;5,"Fin de semana. ","")&amp;IF(SUMIFS($G$2:$G$601,$A$2:$A$601,A52,$D$2:$D$601,D52)&gt;9,"Más de 9 h en el día. ","")&amp;IF(AND(B52&lt;&gt;"",C52&lt;&gt;"",C52&lt;B52),"Cruza la medianoche. ","")&amp;IF(LEN(TRIM(F52))&lt;15,"Sin descripción suficiente. ","")&amp;IF(AND(ISERROR(SEARCH("R-0",F52)),ISERROR(SEARCH("CU-",F52))),"Sin ticket. ","")&amp;IF(ISNA(MATCH(E52,Datos!$E$8:$E$22,0)),"Proyecto sin valor hora. ","")&amp;IF(ISNA(MATCH(D52,Datos!$A$8:$A$22,0)),"Persona fuera del equipo. ","")))</f>
        <v/>
      </c>
      <c r="I52" s="21" t="n"/>
      <c r="J52" s="22" t="n"/>
      <c r="K52" s="23">
        <f>IF(G52="","",IF(J52&lt;&gt;"",MIN(J52,G52),IF(OR(I52="Observada",I52="Rechazada"),0,G52)))</f>
        <v/>
      </c>
      <c r="L52" s="24" t="n"/>
      <c r="M52" s="25">
        <f>IF(OR(A52="",D52=""),0,IF(COUNTIFS($A$2:A52,A52,$D$2:D52,D52)=1,1,0))</f>
        <v/>
      </c>
      <c r="N52"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53" ht="25.5" customHeight="1">
      <c r="A53" s="26" t="n">
        <v>46253</v>
      </c>
      <c r="B53" s="27" t="n">
        <v>0.34375</v>
      </c>
      <c r="C53" s="27" t="n">
        <v>0.3854166666666667</v>
      </c>
      <c r="D53" s="28" t="inlineStr">
        <is>
          <t>Alexis Carnero</t>
        </is>
      </c>
      <c r="E53" s="28" t="inlineStr">
        <is>
          <t>SELICO</t>
        </is>
      </c>
      <c r="F53" s="29" t="inlineStr">
        <is>
          <t>Atención de un nuevo error reportado en la integración de Proveedores Técnicos. Seguimiento de la Entregav36, que consolida las correcciones previas e incorpora el SP de informes jurídicos.</t>
        </is>
      </c>
      <c r="G53" s="30" t="n">
        <v>1</v>
      </c>
      <c r="H53" s="20">
        <f>IF(A53="","",TRIM(IF(WEEKDAY(A53,2)&gt;5,"Fin de semana. ","")&amp;IF(SUMIFS($G$2:$G$601,$A$2:$A$601,A53,$D$2:$D$601,D53)&gt;9,"Más de 9 h en el día. ","")&amp;IF(AND(B53&lt;&gt;"",C53&lt;&gt;"",C53&lt;B53),"Cruza la medianoche. ","")&amp;IF(LEN(TRIM(F53))&lt;15,"Sin descripción suficiente. ","")&amp;IF(AND(ISERROR(SEARCH("R-0",F53)),ISERROR(SEARCH("CU-",F53))),"Sin ticket. ","")&amp;IF(ISNA(MATCH(E53,Datos!$E$8:$E$22,0)),"Proyecto sin valor hora. ","")&amp;IF(ISNA(MATCH(D53,Datos!$A$8:$A$22,0)),"Persona fuera del equipo. ","")))</f>
        <v/>
      </c>
      <c r="I53" s="21" t="n"/>
      <c r="J53" s="22" t="n"/>
      <c r="K53" s="23">
        <f>IF(G53="","",IF(J53&lt;&gt;"",MIN(J53,G53),IF(OR(I53="Observada",I53="Rechazada"),0,G53)))</f>
        <v/>
      </c>
      <c r="L53" s="24" t="n"/>
      <c r="M53" s="25">
        <f>IF(OR(A53="",D53=""),0,IF(COUNTIFS($A$2:A53,A53,$D$2:D53,D53)=1,1,0))</f>
        <v/>
      </c>
      <c r="N53"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54">
      <c r="A54" s="26" t="n">
        <v>46253</v>
      </c>
      <c r="B54" s="27" t="n">
        <v>0.4166666666666667</v>
      </c>
      <c r="C54" s="27" t="n">
        <v>0.7083333333333334</v>
      </c>
      <c r="D54" s="28" t="inlineStr">
        <is>
          <t>Franco Dodera</t>
        </is>
      </c>
      <c r="E54" s="28" t="inlineStr">
        <is>
          <t>SELICO</t>
        </is>
      </c>
      <c r="F54" s="29" t="inlineStr">
        <is>
          <t>Verificacion de funcionamiento de scripts, cargado de datos en power bi, documentacion y casos de prueba de POWER BI Y ETL</t>
        </is>
      </c>
      <c r="G54" s="30" t="n">
        <v>7</v>
      </c>
      <c r="H54" s="20">
        <f>IF(A54="","",TRIM(IF(WEEKDAY(A54,2)&gt;5,"Fin de semana. ","")&amp;IF(SUMIFS($G$2:$G$601,$A$2:$A$601,A54,$D$2:$D$601,D54)&gt;9,"Más de 9 h en el día. ","")&amp;IF(AND(B54&lt;&gt;"",C54&lt;&gt;"",C54&lt;B54),"Cruza la medianoche. ","")&amp;IF(LEN(TRIM(F54))&lt;15,"Sin descripción suficiente. ","")&amp;IF(AND(ISERROR(SEARCH("R-0",F54)),ISERROR(SEARCH("CU-",F54))),"Sin ticket. ","")&amp;IF(ISNA(MATCH(E54,Datos!$E$8:$E$22,0)),"Proyecto sin valor hora. ","")&amp;IF(ISNA(MATCH(D54,Datos!$A$8:$A$22,0)),"Persona fuera del equipo. ","")))</f>
        <v/>
      </c>
      <c r="I54" s="21" t="n"/>
      <c r="J54" s="22" t="n"/>
      <c r="K54" s="23">
        <f>IF(G54="","",IF(J54&lt;&gt;"",MIN(J54,G54),IF(OR(I54="Observada",I54="Rechazada"),0,G54)))</f>
        <v/>
      </c>
      <c r="L54" s="24" t="n"/>
      <c r="M54" s="25">
        <f>IF(OR(A54="",D54=""),0,IF(COUNTIFS($A$2:A54,A54,$D$2:D54,D54)=1,1,0))</f>
        <v/>
      </c>
    </row>
    <row r="55">
      <c r="A55" s="26" t="n">
        <v>46253</v>
      </c>
      <c r="B55" s="27" t="n">
        <v>0.3854166666666667</v>
      </c>
      <c r="C55" s="27" t="n">
        <v>0.71875</v>
      </c>
      <c r="D55" s="28" t="inlineStr">
        <is>
          <t>Gabriel Denis</t>
        </is>
      </c>
      <c r="E55" s="28" t="inlineStr">
        <is>
          <t>SELICO</t>
        </is>
      </c>
      <c r="F55" s="29" t="inlineStr">
        <is>
          <t>Auditoría entregas v18-v35; subespecialidades Informe Técnico; recopilación deuda técnica (28 docs); Entregav36 consolidada</t>
        </is>
      </c>
      <c r="G55" s="30" t="n">
        <v>8</v>
      </c>
      <c r="H55" s="20">
        <f>IF(A55="","",TRIM(IF(WEEKDAY(A55,2)&gt;5,"Fin de semana. ","")&amp;IF(SUMIFS($G$2:$G$601,$A$2:$A$601,A55,$D$2:$D$601,D55)&gt;9,"Más de 9 h en el día. ","")&amp;IF(AND(B55&lt;&gt;"",C55&lt;&gt;"",C55&lt;B55),"Cruza la medianoche. ","")&amp;IF(LEN(TRIM(F55))&lt;15,"Sin descripción suficiente. ","")&amp;IF(AND(ISERROR(SEARCH("R-0",F55)),ISERROR(SEARCH("CU-",F55))),"Sin ticket. ","")&amp;IF(ISNA(MATCH(E55,Datos!$E$8:$E$22,0)),"Proyecto sin valor hora. ","")&amp;IF(ISNA(MATCH(D55,Datos!$A$8:$A$22,0)),"Persona fuera del equipo. ","")))</f>
        <v/>
      </c>
      <c r="I55" s="21" t="n"/>
      <c r="J55" s="22" t="n"/>
      <c r="K55" s="23">
        <f>IF(G55="","",IF(J55&lt;&gt;"",MIN(J55,G55),IF(OR(I55="Observada",I55="Rechazada"),0,G55)))</f>
        <v/>
      </c>
      <c r="L55" s="24" t="n"/>
      <c r="M55" s="25">
        <f>IF(OR(A55="",D55=""),0,IF(COUNTIFS($A$2:A55,A55,$D$2:D55,D55)=1,1,0))</f>
        <v/>
      </c>
      <c r="N55"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56">
      <c r="A56" s="26" t="n">
        <v>46253</v>
      </c>
      <c r="B56" s="27" t="n">
        <v>0.5</v>
      </c>
      <c r="C56" s="27" t="n">
        <v>0.5208333333333334</v>
      </c>
      <c r="D56" s="28" t="inlineStr">
        <is>
          <t>Luciano Carducci</t>
        </is>
      </c>
      <c r="E56" s="28" t="inlineStr">
        <is>
          <t>VictoriusCP2</t>
        </is>
      </c>
      <c r="F56" s="29" t="inlineStr">
        <is>
          <t>meet semanal vcp3 Gob Cba.</t>
        </is>
      </c>
      <c r="G56" s="30" t="n">
        <v>0.5</v>
      </c>
      <c r="H56" s="20">
        <f>IF(A56="","",TRIM(IF(WEEKDAY(A56,2)&gt;5,"Fin de semana. ","")&amp;IF(SUMIFS($G$2:$G$601,$A$2:$A$601,A56,$D$2:$D$601,D56)&gt;9,"Más de 9 h en el día. ","")&amp;IF(AND(B56&lt;&gt;"",C56&lt;&gt;"",C56&lt;B56),"Cruza la medianoche. ","")&amp;IF(LEN(TRIM(F56))&lt;15,"Sin descripción suficiente. ","")&amp;IF(AND(ISERROR(SEARCH("R-0",F56)),ISERROR(SEARCH("CU-",F56))),"Sin ticket. ","")&amp;IF(ISNA(MATCH(E56,Datos!$E$8:$E$22,0)),"Proyecto sin valor hora. ","")&amp;IF(ISNA(MATCH(D56,Datos!$A$8:$A$22,0)),"Persona fuera del equipo. ","")))</f>
        <v/>
      </c>
      <c r="I56" s="21" t="n"/>
      <c r="J56" s="22" t="n"/>
      <c r="K56" s="23">
        <f>IF(G56="","",IF(J56&lt;&gt;"",MIN(J56,G56),IF(OR(I56="Observada",I56="Rechazada"),0,G56)))</f>
        <v/>
      </c>
      <c r="L56" s="24" t="n"/>
      <c r="M56" s="25">
        <f>IF(OR(A56="",D56=""),0,IF(COUNTIFS($A$2:A56,A56,$D$2:D56,D56)=1,1,0))</f>
        <v/>
      </c>
    </row>
    <row r="57">
      <c r="A57" s="26" t="n">
        <v>46253</v>
      </c>
      <c r="B57" s="27" t="n">
        <v>0.5833333333333334</v>
      </c>
      <c r="C57" s="27" t="n">
        <v>0.6666666666666666</v>
      </c>
      <c r="D57" s="28" t="inlineStr">
        <is>
          <t>Matias Zalazar</t>
        </is>
      </c>
      <c r="E57" s="28" t="inlineStr">
        <is>
          <t>SELICO</t>
        </is>
      </c>
      <c r="F57" s="29" t="inlineStr">
        <is>
          <t>Revisión pendientes garantía EEEE - CIV - revisión de correos y redacción de documento con los detalles recaudados</t>
        </is>
      </c>
      <c r="G57" s="30" t="n">
        <v>2</v>
      </c>
      <c r="H57" s="20">
        <f>IF(A57="","",TRIM(IF(WEEKDAY(A57,2)&gt;5,"Fin de semana. ","")&amp;IF(SUMIFS($G$2:$G$601,$A$2:$A$601,A57,$D$2:$D$601,D57)&gt;9,"Más de 9 h en el día. ","")&amp;IF(AND(B57&lt;&gt;"",C57&lt;&gt;"",C57&lt;B57),"Cruza la medianoche. ","")&amp;IF(LEN(TRIM(F57))&lt;15,"Sin descripción suficiente. ","")&amp;IF(AND(ISERROR(SEARCH("R-0",F57)),ISERROR(SEARCH("CU-",F57))),"Sin ticket. ","")&amp;IF(ISNA(MATCH(E57,Datos!$E$8:$E$22,0)),"Proyecto sin valor hora. ","")&amp;IF(ISNA(MATCH(D57,Datos!$A$8:$A$22,0)),"Persona fuera del equipo. ","")))</f>
        <v/>
      </c>
      <c r="I57" s="21" t="n"/>
      <c r="J57" s="22" t="n"/>
      <c r="K57" s="23">
        <f>IF(G57="","",IF(J57&lt;&gt;"",MIN(J57,G57),IF(OR(I57="Observada",I57="Rechazada"),0,G57)))</f>
        <v/>
      </c>
      <c r="L57" s="24" t="n"/>
      <c r="M57" s="25">
        <f>IF(OR(A57="",D57=""),0,IF(COUNTIFS($A$2:A57,A57,$D$2:D57,D57)=1,1,0))</f>
        <v/>
      </c>
    </row>
    <row r="58">
      <c r="A58" s="26" t="n">
        <v>46254</v>
      </c>
      <c r="B58" s="27" t="n">
        <v>0.34375</v>
      </c>
      <c r="C58" s="27" t="n">
        <v>0.71875</v>
      </c>
      <c r="D58" s="28" t="inlineStr">
        <is>
          <t>Gabriel Denis</t>
        </is>
      </c>
      <c r="E58" s="28" t="inlineStr">
        <is>
          <t>SELICO</t>
        </is>
      </c>
      <c r="F58" s="29" t="inlineStr">
        <is>
          <t>BUG-117 incidente urgente producción; BUG-116 Informe Técnico; Plan Mode + Módulo 1 completo selector D.S.135; Entregav38/39/40</t>
        </is>
      </c>
      <c r="G58" s="30" t="n">
        <v>9</v>
      </c>
      <c r="H58" s="20">
        <f>IF(A58="","",TRIM(IF(WEEKDAY(A58,2)&gt;5,"Fin de semana. ","")&amp;IF(SUMIFS($G$2:$G$601,$A$2:$A$601,A58,$D$2:$D$601,D58)&gt;9,"Más de 9 h en el día. ","")&amp;IF(AND(B58&lt;&gt;"",C58&lt;&gt;"",C58&lt;B58),"Cruza la medianoche. ","")&amp;IF(LEN(TRIM(F58))&lt;15,"Sin descripción suficiente. ","")&amp;IF(AND(ISERROR(SEARCH("R-0",F58)),ISERROR(SEARCH("CU-",F58))),"Sin ticket. ","")&amp;IF(ISNA(MATCH(E58,Datos!$E$8:$E$22,0)),"Proyecto sin valor hora. ","")&amp;IF(ISNA(MATCH(D58,Datos!$A$8:$A$22,0)),"Persona fuera del equipo. ","")))</f>
        <v/>
      </c>
      <c r="I58" s="21" t="n"/>
      <c r="J58" s="22" t="n"/>
      <c r="K58" s="23">
        <f>IF(G58="","",IF(J58&lt;&gt;"",MIN(J58,G58),IF(OR(I58="Observada",I58="Rechazada"),0,G58)))</f>
        <v/>
      </c>
      <c r="L58" s="24" t="n"/>
      <c r="M58" s="25">
        <f>IF(OR(A58="",D58=""),0,IF(COUNTIFS($A$2:A58,A58,$D$2:D58,D58)=1,1,0))</f>
        <v/>
      </c>
      <c r="N58" t="inlineStr">
        <is>
          <t>Dia completo de Gabriel Denis, que no tiene usuario de Kimai. Se conserva el horario del bloque original registrado en la cuenta de Alexis Carnero.</t>
        </is>
      </c>
    </row>
    <row r="59">
      <c r="A59" s="26" t="n">
        <v>46254</v>
      </c>
      <c r="B59" s="27" t="n">
        <v>0.3333333333333333</v>
      </c>
      <c r="C59" s="27" t="n">
        <v>0.5</v>
      </c>
      <c r="D59" s="28" t="inlineStr">
        <is>
          <t>Matias Zalazar</t>
        </is>
      </c>
      <c r="E59" s="28" t="inlineStr">
        <is>
          <t>SIAC-OIRS</t>
        </is>
      </c>
      <c r="F59" s="29" t="inlineStr">
        <is>
          <t>Ticket R-012460</t>
        </is>
      </c>
      <c r="G59" s="30" t="n">
        <v>4</v>
      </c>
      <c r="H59" s="20">
        <f>IF(A59="","",TRIM(IF(WEEKDAY(A59,2)&gt;5,"Fin de semana. ","")&amp;IF(SUMIFS($G$2:$G$601,$A$2:$A$601,A59,$D$2:$D$601,D59)&gt;9,"Más de 9 h en el día. ","")&amp;IF(AND(B59&lt;&gt;"",C59&lt;&gt;"",C59&lt;B59),"Cruza la medianoche. ","")&amp;IF(LEN(TRIM(F59))&lt;15,"Sin descripción suficiente. ","")&amp;IF(AND(ISERROR(SEARCH("R-0",F59)),ISERROR(SEARCH("CU-",F59))),"Sin ticket. ","")&amp;IF(ISNA(MATCH(E59,Datos!$E$8:$E$22,0)),"Proyecto sin valor hora. ","")&amp;IF(ISNA(MATCH(D59,Datos!$A$8:$A$22,0)),"Persona fuera del equipo. ","")))</f>
        <v/>
      </c>
      <c r="I59" s="21" t="n"/>
      <c r="J59" s="22" t="n"/>
      <c r="K59" s="23">
        <f>IF(G59="","",IF(J59&lt;&gt;"",MIN(J59,G59),IF(OR(I59="Observada",I59="Rechazada"),0,G59)))</f>
        <v/>
      </c>
      <c r="L59" s="24" t="n"/>
      <c r="M59" s="25">
        <f>IF(OR(A59="",D59=""),0,IF(COUNTIFS($A$2:A59,A59,$D$2:D59,D59)=1,1,0))</f>
        <v/>
      </c>
    </row>
    <row r="60">
      <c r="A60" s="26" t="n">
        <v>46255</v>
      </c>
      <c r="B60" s="27" t="n">
        <v>0.5416666666666666</v>
      </c>
      <c r="C60" s="27" t="n">
        <v>0.6666666666666666</v>
      </c>
      <c r="D60" s="28" t="inlineStr">
        <is>
          <t>Matias Zalazar</t>
        </is>
      </c>
      <c r="E60" s="28" t="inlineStr">
        <is>
          <t>Subastas</t>
        </is>
      </c>
      <c r="F60" s="29" t="inlineStr">
        <is>
          <t>Mejoras derivadas del error en la visualizacion del lote 356 - Documento lotes por cierre</t>
        </is>
      </c>
      <c r="G60" s="30" t="n">
        <v>3</v>
      </c>
      <c r="H60" s="20">
        <f>IF(A60="","",TRIM(IF(WEEKDAY(A60,2)&gt;5,"Fin de semana. ","")&amp;IF(SUMIFS($G$2:$G$601,$A$2:$A$601,A60,$D$2:$D$601,D60)&gt;9,"Más de 9 h en el día. ","")&amp;IF(AND(B60&lt;&gt;"",C60&lt;&gt;"",C60&lt;B60),"Cruza la medianoche. ","")&amp;IF(LEN(TRIM(F60))&lt;15,"Sin descripción suficiente. ","")&amp;IF(AND(ISERROR(SEARCH("R-0",F60)),ISERROR(SEARCH("CU-",F60))),"Sin ticket. ","")&amp;IF(ISNA(MATCH(E60,Datos!$E$8:$E$22,0)),"Proyecto sin valor hora. ","")&amp;IF(ISNA(MATCH(D60,Datos!$A$8:$A$22,0)),"Persona fuera del equipo. ","")))</f>
        <v/>
      </c>
      <c r="I60" s="21" t="n"/>
      <c r="J60" s="22" t="n"/>
      <c r="K60" s="23">
        <f>IF(G60="","",IF(J60&lt;&gt;"",MIN(J60,G60),IF(OR(I60="Observada",I60="Rechazada"),0,G60)))</f>
        <v/>
      </c>
      <c r="L60" s="24" t="n"/>
      <c r="M60" s="25">
        <f>IF(OR(A60="",D60=""),0,IF(COUNTIFS($A$2:A60,A60,$D$2:D60,D60)=1,1,0))</f>
        <v/>
      </c>
    </row>
    <row r="61">
      <c r="A61" s="26" t="n">
        <v>46258</v>
      </c>
      <c r="B61" s="27" t="n">
        <v>0.34375</v>
      </c>
      <c r="C61" s="27" t="n">
        <v>0.3854166666666667</v>
      </c>
      <c r="D61" s="28" t="inlineStr">
        <is>
          <t>Alexis Carnero</t>
        </is>
      </c>
      <c r="E61" s="28" t="inlineStr">
        <is>
          <t>SELICO</t>
        </is>
      </c>
      <c r="F61" s="29" t="inlineStr">
        <is>
          <t>Seguimiento del incidente de integración PPTT-RRTT: verificación del estado del fix del 14/08 y su paso a Test, confirmación de pruebas exitosas en desarrollo con solicitudes de Consultores y Contratistas, y reenvío del detalle técnico a la contraparte.</t>
        </is>
      </c>
      <c r="G61" s="30" t="n">
        <v>1</v>
      </c>
      <c r="H61" s="20">
        <f>IF(A61="","",TRIM(IF(WEEKDAY(A61,2)&gt;5,"Fin de semana. ","")&amp;IF(SUMIFS($G$2:$G$601,$A$2:$A$601,A61,$D$2:$D$601,D61)&gt;9,"Más de 9 h en el día. ","")&amp;IF(AND(B61&lt;&gt;"",C61&lt;&gt;"",C61&lt;B61),"Cruza la medianoche. ","")&amp;IF(LEN(TRIM(F61))&lt;15,"Sin descripción suficiente. ","")&amp;IF(AND(ISERROR(SEARCH("R-0",F61)),ISERROR(SEARCH("CU-",F61))),"Sin ticket. ","")&amp;IF(ISNA(MATCH(E61,Datos!$E$8:$E$22,0)),"Proyecto sin valor hora. ","")&amp;IF(ISNA(MATCH(D61,Datos!$A$8:$A$22,0)),"Persona fuera del equipo. ","")))</f>
        <v/>
      </c>
      <c r="I61" s="21" t="n"/>
      <c r="J61" s="22" t="n"/>
      <c r="K61" s="23">
        <f>IF(G61="","",IF(J61&lt;&gt;"",MIN(J61,G61),IF(OR(I61="Observada",I61="Rechazada"),0,G61)))</f>
        <v/>
      </c>
      <c r="L61" s="24" t="n"/>
      <c r="M61" s="25">
        <f>IF(OR(A61="",D61=""),0,IF(COUNTIFS($A$2:A61,A61,$D$2:D61,D61)=1,1,0))</f>
        <v/>
      </c>
      <c r="N61"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62">
      <c r="A62" s="26" t="n">
        <v>46258</v>
      </c>
      <c r="B62" s="27" t="n">
        <v>0.3854166666666667</v>
      </c>
      <c r="C62" s="27" t="n">
        <v>0.4270833333333333</v>
      </c>
      <c r="D62" s="28" t="inlineStr">
        <is>
          <t>Gabriel Denis</t>
        </is>
      </c>
      <c r="E62" s="28" t="inlineStr">
        <is>
          <t>SELICO</t>
        </is>
      </c>
      <c r="F62" s="29" t="inlineStr">
        <is>
          <t>Reuniones</t>
        </is>
      </c>
      <c r="G62" s="30" t="n">
        <v>1</v>
      </c>
      <c r="H62" s="20">
        <f>IF(A62="","",TRIM(IF(WEEKDAY(A62,2)&gt;5,"Fin de semana. ","")&amp;IF(SUMIFS($G$2:$G$601,$A$2:$A$601,A62,$D$2:$D$601,D62)&gt;9,"Más de 9 h en el día. ","")&amp;IF(AND(B62&lt;&gt;"",C62&lt;&gt;"",C62&lt;B62),"Cruza la medianoche. ","")&amp;IF(LEN(TRIM(F62))&lt;15,"Sin descripción suficiente. ","")&amp;IF(AND(ISERROR(SEARCH("R-0",F62)),ISERROR(SEARCH("CU-",F62))),"Sin ticket. ","")&amp;IF(ISNA(MATCH(E62,Datos!$E$8:$E$22,0)),"Proyecto sin valor hora. ","")&amp;IF(ISNA(MATCH(D62,Datos!$A$8:$A$22,0)),"Persona fuera del equipo. ","")))</f>
        <v/>
      </c>
      <c r="I62" s="21" t="n"/>
      <c r="J62" s="22" t="n"/>
      <c r="K62" s="23">
        <f>IF(G62="","",IF(J62&lt;&gt;"",MIN(J62,G62),IF(OR(I62="Observada",I62="Rechazada"),0,G62)))</f>
        <v/>
      </c>
      <c r="L62" s="24" t="n"/>
      <c r="M62" s="25">
        <f>IF(OR(A62="",D62=""),0,IF(COUNTIFS($A$2:A62,A62,$D$2:D62,D62)=1,1,0))</f>
        <v/>
      </c>
      <c r="N62"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63" ht="25.5" customHeight="1">
      <c r="A63" s="26" t="n">
        <v>46259</v>
      </c>
      <c r="B63" s="27" t="n">
        <v>0.34375</v>
      </c>
      <c r="C63" s="27" t="n">
        <v>0.4479166666666667</v>
      </c>
      <c r="D63" s="28" t="inlineStr">
        <is>
          <t>Alexis Carnero</t>
        </is>
      </c>
      <c r="E63" s="28" t="inlineStr">
        <is>
          <t>SELICO</t>
        </is>
      </c>
      <c r="F63" s="29" t="inlineStr">
        <is>
          <t>Coordinación de la reunión sobre la toma de razón del decreto que modifica el Registro Nacional. Recepción y revisión de un nuevo error en producción sobre mensajes individuales de B2B. Gestión de credenciales de acceso al repositorio Azure.</t>
        </is>
      </c>
      <c r="G63" s="30" t="n">
        <v>2.5</v>
      </c>
      <c r="H63" s="20">
        <f>IF(A63="","",TRIM(IF(WEEKDAY(A63,2)&gt;5,"Fin de semana. ","")&amp;IF(SUMIFS($G$2:$G$601,$A$2:$A$601,A63,$D$2:$D$601,D63)&gt;9,"Más de 9 h en el día. ","")&amp;IF(AND(B63&lt;&gt;"",C63&lt;&gt;"",C63&lt;B63),"Cruza la medianoche. ","")&amp;IF(LEN(TRIM(F63))&lt;15,"Sin descripción suficiente. ","")&amp;IF(AND(ISERROR(SEARCH("R-0",F63)),ISERROR(SEARCH("CU-",F63))),"Sin ticket. ","")&amp;IF(ISNA(MATCH(E63,Datos!$E$8:$E$22,0)),"Proyecto sin valor hora. ","")&amp;IF(ISNA(MATCH(D63,Datos!$A$8:$A$22,0)),"Persona fuera del equipo. ","")))</f>
        <v/>
      </c>
      <c r="I63" s="21" t="n"/>
      <c r="J63" s="22" t="n"/>
      <c r="K63" s="23">
        <f>IF(G63="","",IF(J63&lt;&gt;"",MIN(J63,G63),IF(OR(I63="Observada",I63="Rechazada"),0,G63)))</f>
        <v/>
      </c>
      <c r="L63" s="24" t="n"/>
      <c r="M63" s="25">
        <f>IF(OR(A63="",D63=""),0,IF(COUNTIFS($A$2:A63,A63,$D$2:D63,D63)=1,1,0))</f>
        <v/>
      </c>
      <c r="N63"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64">
      <c r="A64" s="26" t="n">
        <v>46259</v>
      </c>
      <c r="B64" s="27" t="n">
        <v>0.4479166666666667</v>
      </c>
      <c r="C64" s="27" t="n">
        <v>0.53125</v>
      </c>
      <c r="D64" s="28" t="inlineStr">
        <is>
          <t>Gabriel Denis</t>
        </is>
      </c>
      <c r="E64" s="28" t="inlineStr">
        <is>
          <t>SELICO</t>
        </is>
      </c>
      <c r="F64" s="29" t="inlineStr">
        <is>
          <t>Reuniones</t>
        </is>
      </c>
      <c r="G64" s="30" t="n">
        <v>2</v>
      </c>
      <c r="H64" s="20">
        <f>IF(A64="","",TRIM(IF(WEEKDAY(A64,2)&gt;5,"Fin de semana. ","")&amp;IF(SUMIFS($G$2:$G$601,$A$2:$A$601,A64,$D$2:$D$601,D64)&gt;9,"Más de 9 h en el día. ","")&amp;IF(AND(B64&lt;&gt;"",C64&lt;&gt;"",C64&lt;B64),"Cruza la medianoche. ","")&amp;IF(LEN(TRIM(F64))&lt;15,"Sin descripción suficiente. ","")&amp;IF(AND(ISERROR(SEARCH("R-0",F64)),ISERROR(SEARCH("CU-",F64))),"Sin ticket. ","")&amp;IF(ISNA(MATCH(E64,Datos!$E$8:$E$22,0)),"Proyecto sin valor hora. ","")&amp;IF(ISNA(MATCH(D64,Datos!$A$8:$A$22,0)),"Persona fuera del equipo. ","")))</f>
        <v/>
      </c>
      <c r="I64" s="21" t="n"/>
      <c r="J64" s="22" t="n"/>
      <c r="K64" s="23">
        <f>IF(G64="","",IF(J64&lt;&gt;"",MIN(J64,G64),IF(OR(I64="Observada",I64="Rechazada"),0,G64)))</f>
        <v/>
      </c>
      <c r="L64" s="24" t="n"/>
      <c r="M64" s="25">
        <f>IF(OR(A64="",D64=""),0,IF(COUNTIFS($A$2:A64,A64,$D$2:D64,D64)=1,1,0))</f>
        <v/>
      </c>
      <c r="N64"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65">
      <c r="A65" s="26" t="n">
        <v>46259</v>
      </c>
      <c r="B65" s="27" t="n">
        <v>0.3333333333333333</v>
      </c>
      <c r="C65" s="27" t="n">
        <v>0.375</v>
      </c>
      <c r="D65" s="28" t="inlineStr">
        <is>
          <t>Matias Zalazar</t>
        </is>
      </c>
      <c r="E65" s="28" t="inlineStr">
        <is>
          <t>Subastas</t>
        </is>
      </c>
      <c r="F65" s="29" t="inlineStr">
        <is>
          <t>Verificacion funcionamiento inicio de subasta (Pujas)</t>
        </is>
      </c>
      <c r="G65" s="30" t="n">
        <v>1</v>
      </c>
      <c r="H65" s="20">
        <f>IF(A65="","",TRIM(IF(WEEKDAY(A65,2)&gt;5,"Fin de semana. ","")&amp;IF(SUMIFS($G$2:$G$601,$A$2:$A$601,A65,$D$2:$D$601,D65)&gt;9,"Más de 9 h en el día. ","")&amp;IF(AND(B65&lt;&gt;"",C65&lt;&gt;"",C65&lt;B65),"Cruza la medianoche. ","")&amp;IF(LEN(TRIM(F65))&lt;15,"Sin descripción suficiente. ","")&amp;IF(AND(ISERROR(SEARCH("R-0",F65)),ISERROR(SEARCH("CU-",F65))),"Sin ticket. ","")&amp;IF(ISNA(MATCH(E65,Datos!$E$8:$E$22,0)),"Proyecto sin valor hora. ","")&amp;IF(ISNA(MATCH(D65,Datos!$A$8:$A$22,0)),"Persona fuera del equipo. ","")))</f>
        <v/>
      </c>
      <c r="I65" s="21" t="n"/>
      <c r="J65" s="22" t="n"/>
      <c r="K65" s="23">
        <f>IF(G65="","",IF(J65&lt;&gt;"",MIN(J65,G65),IF(OR(I65="Observada",I65="Rechazada"),0,G65)))</f>
        <v/>
      </c>
      <c r="L65" s="24" t="n"/>
      <c r="M65" s="25">
        <f>IF(OR(A65="",D65=""),0,IF(COUNTIFS($A$2:A65,A65,$D$2:D65,D65)=1,1,0))</f>
        <v/>
      </c>
    </row>
    <row r="66">
      <c r="A66" s="26" t="n">
        <v>46260</v>
      </c>
      <c r="B66" s="27" t="n">
        <v>0.34375</v>
      </c>
      <c r="C66" s="27" t="n">
        <v>0.4479166666666667</v>
      </c>
      <c r="D66" s="28" t="inlineStr">
        <is>
          <t>Alexis Carnero</t>
        </is>
      </c>
      <c r="E66" s="28" t="inlineStr">
        <is>
          <t>SELICO</t>
        </is>
      </c>
      <c r="F66" s="29" t="inlineStr">
        <is>
          <t>Reunión "Cápsula Jurídica - Toma de razón del decreto que modifica el Registro Nacional" (1 h). API SyncDocumental (GesDoc): resolución del RUT del titular ampliada a equipo de trabajo, nómina de trabajadores y nómina de asesores; reubicación de la validación de tipo de documento; rutas de file server leídas desde configuración.</t>
        </is>
      </c>
      <c r="G66" s="30" t="n">
        <v>2.5</v>
      </c>
      <c r="H66" s="20">
        <f>IF(A66="","",TRIM(IF(WEEKDAY(A66,2)&gt;5,"Fin de semana. ","")&amp;IF(SUMIFS($G$2:$G$601,$A$2:$A$601,A66,$D$2:$D$601,D66)&gt;9,"Más de 9 h en el día. ","")&amp;IF(AND(B66&lt;&gt;"",C66&lt;&gt;"",C66&lt;B66),"Cruza la medianoche. ","")&amp;IF(LEN(TRIM(F66))&lt;15,"Sin descripción suficiente. ","")&amp;IF(AND(ISERROR(SEARCH("R-0",F66)),ISERROR(SEARCH("CU-",F66))),"Sin ticket. ","")&amp;IF(ISNA(MATCH(E66,Datos!$E$8:$E$22,0)),"Proyecto sin valor hora. ","")&amp;IF(ISNA(MATCH(D66,Datos!$A$8:$A$22,0)),"Persona fuera del equipo. ","")))</f>
        <v/>
      </c>
      <c r="I66" s="21" t="n"/>
      <c r="J66" s="22" t="n"/>
      <c r="K66" s="23">
        <f>IF(G66="","",IF(J66&lt;&gt;"",MIN(J66,G66),IF(OR(I66="Observada",I66="Rechazada"),0,G66)))</f>
        <v/>
      </c>
      <c r="L66" s="24" t="n"/>
      <c r="M66" s="25">
        <f>IF(OR(A66="",D66=""),0,IF(COUNTIFS($A$2:A66,A66,$D$2:D66,D66)=1,1,0))</f>
        <v/>
      </c>
    </row>
    <row r="67">
      <c r="A67" s="26" t="n">
        <v>46260</v>
      </c>
      <c r="B67" s="27" t="n">
        <v>0.5208333333333334</v>
      </c>
      <c r="C67" s="27" t="n">
        <v>0.5625</v>
      </c>
      <c r="D67" s="28" t="inlineStr">
        <is>
          <t>Franco Dodera</t>
        </is>
      </c>
      <c r="E67" s="28" t="inlineStr">
        <is>
          <t>SELICO</t>
        </is>
      </c>
      <c r="F67" s="29" t="inlineStr">
        <is>
          <t>Reunion aceptacion de nuevo decreto</t>
        </is>
      </c>
      <c r="G67" s="30" t="n">
        <v>1</v>
      </c>
      <c r="H67" s="20">
        <f>IF(A67="","",TRIM(IF(WEEKDAY(A67,2)&gt;5,"Fin de semana. ","")&amp;IF(SUMIFS($G$2:$G$601,$A$2:$A$601,A67,$D$2:$D$601,D67)&gt;9,"Más de 9 h en el día. ","")&amp;IF(AND(B67&lt;&gt;"",C67&lt;&gt;"",C67&lt;B67),"Cruza la medianoche. ","")&amp;IF(LEN(TRIM(F67))&lt;15,"Sin descripción suficiente. ","")&amp;IF(AND(ISERROR(SEARCH("R-0",F67)),ISERROR(SEARCH("CU-",F67))),"Sin ticket. ","")&amp;IF(ISNA(MATCH(E67,Datos!$E$8:$E$22,0)),"Proyecto sin valor hora. ","")&amp;IF(ISNA(MATCH(D67,Datos!$A$8:$A$22,0)),"Persona fuera del equipo. ","")))</f>
        <v/>
      </c>
      <c r="I67" s="21" t="n"/>
      <c r="J67" s="22" t="n"/>
      <c r="K67" s="23">
        <f>IF(G67="","",IF(J67&lt;&gt;"",MIN(J67,G67),IF(OR(I67="Observada",I67="Rechazada"),0,G67)))</f>
        <v/>
      </c>
      <c r="L67" s="24" t="n"/>
      <c r="M67" s="25">
        <f>IF(OR(A67="",D67=""),0,IF(COUNTIFS($A$2:A67,A67,$D$2:D67,D67)=1,1,0))</f>
        <v/>
      </c>
    </row>
    <row r="68" ht="25.5" customHeight="1">
      <c r="A68" s="26" t="n">
        <v>46260</v>
      </c>
      <c r="B68" s="27" t="n">
        <v>0.5833333333333334</v>
      </c>
      <c r="C68" s="27" t="n">
        <v>0.75</v>
      </c>
      <c r="D68" s="28" t="inlineStr">
        <is>
          <t>Lautaro Zalazar</t>
        </is>
      </c>
      <c r="E68" s="28" t="inlineStr">
        <is>
          <t>Victorius 3</t>
        </is>
      </c>
      <c r="F68" s="29" t="inlineStr">
        <is>
          <t>Análisis funcional para cliente Gobierno de Córdoba</t>
        </is>
      </c>
      <c r="G68" s="30" t="n">
        <v>4</v>
      </c>
      <c r="H68" s="20">
        <f>IF(A68="","",TRIM(IF(WEEKDAY(A68,2)&gt;5,"Fin de semana. ","")&amp;IF(SUMIFS($G$2:$G$601,$A$2:$A$601,A68,$D$2:$D$601,D68)&gt;9,"Más de 9 h en el día. ","")&amp;IF(AND(B68&lt;&gt;"",C68&lt;&gt;"",C68&lt;B68),"Cruza la medianoche. ","")&amp;IF(LEN(TRIM(F68))&lt;15,"Sin descripción suficiente. ","")&amp;IF(AND(ISERROR(SEARCH("R-0",F68)),ISERROR(SEARCH("CU-",F68))),"Sin ticket. ","")&amp;IF(ISNA(MATCH(E68,Datos!$E$8:$E$22,0)),"Proyecto sin valor hora. ","")&amp;IF(ISNA(MATCH(D68,Datos!$A$8:$A$22,0)),"Persona fuera del equipo. ","")))</f>
        <v/>
      </c>
      <c r="I68" s="21" t="n"/>
      <c r="J68" s="22" t="n"/>
      <c r="K68" s="23">
        <f>IF(G68="","",IF(J68&lt;&gt;"",MIN(J68,G68),IF(OR(I68="Observada",I68="Rechazada"),0,G68)))</f>
        <v/>
      </c>
      <c r="L68" s="24" t="n"/>
      <c r="M68" s="25">
        <f>IF(OR(A68="",D68=""),0,IF(COUNTIFS($A$2:A68,A68,$D$2:D68,D68)=1,1,0))</f>
        <v/>
      </c>
    </row>
    <row r="69">
      <c r="A69" s="26" t="n">
        <v>46260</v>
      </c>
      <c r="B69" s="27" t="n">
        <v>0.4166666666666667</v>
      </c>
      <c r="C69" s="27" t="n">
        <v>0.4270833333333333</v>
      </c>
      <c r="D69" s="28" t="inlineStr">
        <is>
          <t>Luciano Carducci</t>
        </is>
      </c>
      <c r="E69" s="28" t="inlineStr">
        <is>
          <t>VictoriusCP2</t>
        </is>
      </c>
      <c r="F69" s="29" t="inlineStr">
        <is>
          <t>meet semanal vcp3 Gob Cba</t>
        </is>
      </c>
      <c r="G69" s="30" t="n">
        <v>0.25</v>
      </c>
      <c r="H69" s="20">
        <f>IF(A69="","",TRIM(IF(WEEKDAY(A69,2)&gt;5,"Fin de semana. ","")&amp;IF(SUMIFS($G$2:$G$601,$A$2:$A$601,A69,$D$2:$D$601,D69)&gt;9,"Más de 9 h en el día. ","")&amp;IF(AND(B69&lt;&gt;"",C69&lt;&gt;"",C69&lt;B69),"Cruza la medianoche. ","")&amp;IF(LEN(TRIM(F69))&lt;15,"Sin descripción suficiente. ","")&amp;IF(AND(ISERROR(SEARCH("R-0",F69)),ISERROR(SEARCH("CU-",F69))),"Sin ticket. ","")&amp;IF(ISNA(MATCH(E69,Datos!$E$8:$E$22,0)),"Proyecto sin valor hora. ","")&amp;IF(ISNA(MATCH(D69,Datos!$A$8:$A$22,0)),"Persona fuera del equipo. ","")))</f>
        <v/>
      </c>
      <c r="I69" s="21" t="n"/>
      <c r="J69" s="22" t="n"/>
      <c r="K69" s="23">
        <f>IF(G69="","",IF(J69&lt;&gt;"",MIN(J69,G69),IF(OR(I69="Observada",I69="Rechazada"),0,G69)))</f>
        <v/>
      </c>
      <c r="L69" s="24" t="n"/>
      <c r="M69" s="25">
        <f>IF(OR(A69="",D69=""),0,IF(COUNTIFS($A$2:A69,A69,$D$2:D69,D69)=1,1,0))</f>
        <v/>
      </c>
    </row>
    <row r="70">
      <c r="A70" s="26" t="n">
        <v>46260</v>
      </c>
      <c r="B70" s="27" t="n">
        <v>0.5833333333333334</v>
      </c>
      <c r="C70" s="27" t="n">
        <v>0.6666666666666666</v>
      </c>
      <c r="D70" s="28" t="inlineStr">
        <is>
          <t>Matias Zalazar</t>
        </is>
      </c>
      <c r="E70" s="28" t="inlineStr">
        <is>
          <t>SIAC-OIRS</t>
        </is>
      </c>
      <c r="F70" s="29" t="inlineStr">
        <is>
          <t>Ticket R-012528</t>
        </is>
      </c>
      <c r="G70" s="30" t="n">
        <v>2</v>
      </c>
      <c r="H70" s="20">
        <f>IF(A70="","",TRIM(IF(WEEKDAY(A70,2)&gt;5,"Fin de semana. ","")&amp;IF(SUMIFS($G$2:$G$601,$A$2:$A$601,A70,$D$2:$D$601,D70)&gt;9,"Más de 9 h en el día. ","")&amp;IF(AND(B70&lt;&gt;"",C70&lt;&gt;"",C70&lt;B70),"Cruza la medianoche. ","")&amp;IF(LEN(TRIM(F70))&lt;15,"Sin descripción suficiente. ","")&amp;IF(AND(ISERROR(SEARCH("R-0",F70)),ISERROR(SEARCH("CU-",F70))),"Sin ticket. ","")&amp;IF(ISNA(MATCH(E70,Datos!$E$8:$E$22,0)),"Proyecto sin valor hora. ","")&amp;IF(ISNA(MATCH(D70,Datos!$A$8:$A$22,0)),"Persona fuera del equipo. ","")))</f>
        <v/>
      </c>
      <c r="I70" s="21" t="n"/>
      <c r="J70" s="22" t="n"/>
      <c r="K70" s="23">
        <f>IF(G70="","",IF(J70&lt;&gt;"",MIN(J70,G70),IF(OR(I70="Observada",I70="Rechazada"),0,G70)))</f>
        <v/>
      </c>
      <c r="L70" s="24" t="n"/>
      <c r="M70" s="25">
        <f>IF(OR(A70="",D70=""),0,IF(COUNTIFS($A$2:A70,A70,$D$2:D70,D70)=1,1,0))</f>
        <v/>
      </c>
    </row>
    <row r="71">
      <c r="A71" s="26" t="n">
        <v>46260</v>
      </c>
      <c r="B71" s="27" t="n">
        <v>0.75</v>
      </c>
      <c r="C71" s="27" t="n">
        <v>0.875</v>
      </c>
      <c r="D71" s="28" t="inlineStr">
        <is>
          <t>Matias Zalazar</t>
        </is>
      </c>
      <c r="E71" s="28" t="inlineStr">
        <is>
          <t>Subastas</t>
        </is>
      </c>
      <c r="F71" s="29" t="inlineStr">
        <is>
          <t>Ticket R-012532</t>
        </is>
      </c>
      <c r="G71" s="30" t="n">
        <v>3</v>
      </c>
      <c r="H71" s="20">
        <f>IF(A71="","",TRIM(IF(WEEKDAY(A71,2)&gt;5,"Fin de semana. ","")&amp;IF(SUMIFS($G$2:$G$601,$A$2:$A$601,A71,$D$2:$D$601,D71)&gt;9,"Más de 9 h en el día. ","")&amp;IF(AND(B71&lt;&gt;"",C71&lt;&gt;"",C71&lt;B71),"Cruza la medianoche. ","")&amp;IF(LEN(TRIM(F71))&lt;15,"Sin descripción suficiente. ","")&amp;IF(AND(ISERROR(SEARCH("R-0",F71)),ISERROR(SEARCH("CU-",F71))),"Sin ticket. ","")&amp;IF(ISNA(MATCH(E71,Datos!$E$8:$E$22,0)),"Proyecto sin valor hora. ","")&amp;IF(ISNA(MATCH(D71,Datos!$A$8:$A$22,0)),"Persona fuera del equipo. ","")))</f>
        <v/>
      </c>
      <c r="I71" s="21" t="n"/>
      <c r="J71" s="22" t="n"/>
      <c r="K71" s="23">
        <f>IF(G71="","",IF(J71&lt;&gt;"",MIN(J71,G71),IF(OR(I71="Observada",I71="Rechazada"),0,G71)))</f>
        <v/>
      </c>
      <c r="L71" s="24" t="n"/>
      <c r="M71" s="25">
        <f>IF(OR(A71="",D71=""),0,IF(COUNTIFS($A$2:A71,A71,$D$2:D71,D71)=1,1,0))</f>
        <v/>
      </c>
    </row>
    <row r="72">
      <c r="A72" s="26" t="n">
        <v>46261</v>
      </c>
      <c r="B72" s="27" t="n">
        <v>0.3333333333333333</v>
      </c>
      <c r="C72" s="27" t="n">
        <v>0.4375</v>
      </c>
      <c r="D72" s="28" t="inlineStr">
        <is>
          <t>Matias Zalazar</t>
        </is>
      </c>
      <c r="E72" s="28" t="inlineStr">
        <is>
          <t>Subastas</t>
        </is>
      </c>
      <c r="F72" s="29" t="inlineStr">
        <is>
          <t>Ticket R-012532</t>
        </is>
      </c>
      <c r="G72" s="30" t="n">
        <v>2.5</v>
      </c>
      <c r="H72" s="20">
        <f>IF(A72="","",TRIM(IF(WEEKDAY(A72,2)&gt;5,"Fin de semana. ","")&amp;IF(SUMIFS($G$2:$G$601,$A$2:$A$601,A72,$D$2:$D$601,D72)&gt;9,"Más de 9 h en el día. ","")&amp;IF(AND(B72&lt;&gt;"",C72&lt;&gt;"",C72&lt;B72),"Cruza la medianoche. ","")&amp;IF(LEN(TRIM(F72))&lt;15,"Sin descripción suficiente. ","")&amp;IF(AND(ISERROR(SEARCH("R-0",F72)),ISERROR(SEARCH("CU-",F72))),"Sin ticket. ","")&amp;IF(ISNA(MATCH(E72,Datos!$E$8:$E$22,0)),"Proyecto sin valor hora. ","")&amp;IF(ISNA(MATCH(D72,Datos!$A$8:$A$22,0)),"Persona fuera del equipo. ","")))</f>
        <v/>
      </c>
      <c r="I72" s="21" t="n"/>
      <c r="J72" s="22" t="n"/>
      <c r="K72" s="23">
        <f>IF(G72="","",IF(J72&lt;&gt;"",MIN(J72,G72),IF(OR(I72="Observada",I72="Rechazada"),0,G72)))</f>
        <v/>
      </c>
      <c r="L72" s="24" t="n"/>
      <c r="M72" s="25">
        <f>IF(OR(A72="",D72=""),0,IF(COUNTIFS($A$2:A72,A72,$D$2:D72,D72)=1,1,0))</f>
        <v/>
      </c>
    </row>
    <row r="73">
      <c r="A73" s="26" t="n">
        <v>46261</v>
      </c>
      <c r="B73" s="27" t="n">
        <v>0.4375</v>
      </c>
      <c r="C73" s="27" t="n">
        <v>0.5</v>
      </c>
      <c r="D73" s="28" t="inlineStr">
        <is>
          <t>Matias Zalazar</t>
        </is>
      </c>
      <c r="E73" s="28" t="inlineStr">
        <is>
          <t>Subastas</t>
        </is>
      </c>
      <c r="F73" s="29" t="inlineStr">
        <is>
          <t>Ticket R-012542</t>
        </is>
      </c>
      <c r="G73" s="30" t="n">
        <v>1.5</v>
      </c>
      <c r="H73" s="20">
        <f>IF(A73="","",TRIM(IF(WEEKDAY(A73,2)&gt;5,"Fin de semana. ","")&amp;IF(SUMIFS($G$2:$G$601,$A$2:$A$601,A73,$D$2:$D$601,D73)&gt;9,"Más de 9 h en el día. ","")&amp;IF(AND(B73&lt;&gt;"",C73&lt;&gt;"",C73&lt;B73),"Cruza la medianoche. ","")&amp;IF(LEN(TRIM(F73))&lt;15,"Sin descripción suficiente. ","")&amp;IF(AND(ISERROR(SEARCH("R-0",F73)),ISERROR(SEARCH("CU-",F73))),"Sin ticket. ","")&amp;IF(ISNA(MATCH(E73,Datos!$E$8:$E$22,0)),"Proyecto sin valor hora. ","")&amp;IF(ISNA(MATCH(D73,Datos!$A$8:$A$22,0)),"Persona fuera del equipo. ","")))</f>
        <v/>
      </c>
      <c r="I73" s="21" t="n"/>
      <c r="J73" s="22" t="n"/>
      <c r="K73" s="23">
        <f>IF(G73="","",IF(J73&lt;&gt;"",MIN(J73,G73),IF(OR(I73="Observada",I73="Rechazada"),0,G73)))</f>
        <v/>
      </c>
      <c r="L73" s="24" t="n"/>
      <c r="M73" s="25">
        <f>IF(OR(A73="",D73=""),0,IF(COUNTIFS($A$2:A73,A73,$D$2:D73,D73)=1,1,0))</f>
        <v/>
      </c>
    </row>
    <row r="74">
      <c r="A74" s="26" t="n">
        <v>46261</v>
      </c>
      <c r="B74" s="27" t="n">
        <v>0.5208333333333334</v>
      </c>
      <c r="C74" s="27" t="n">
        <v>0.5416666666666666</v>
      </c>
      <c r="D74" s="28" t="inlineStr">
        <is>
          <t>Matias Zalazar</t>
        </is>
      </c>
      <c r="E74" s="28" t="inlineStr">
        <is>
          <t>SIAC-OIRS</t>
        </is>
      </c>
      <c r="F74" s="29" t="inlineStr">
        <is>
          <t>Ticket R-012528</t>
        </is>
      </c>
      <c r="G74" s="30" t="n">
        <v>0.5</v>
      </c>
      <c r="H74" s="20">
        <f>IF(A74="","",TRIM(IF(WEEKDAY(A74,2)&gt;5,"Fin de semana. ","")&amp;IF(SUMIFS($G$2:$G$601,$A$2:$A$601,A74,$D$2:$D$601,D74)&gt;9,"Más de 9 h en el día. ","")&amp;IF(AND(B74&lt;&gt;"",C74&lt;&gt;"",C74&lt;B74),"Cruza la medianoche. ","")&amp;IF(LEN(TRIM(F74))&lt;15,"Sin descripción suficiente. ","")&amp;IF(AND(ISERROR(SEARCH("R-0",F74)),ISERROR(SEARCH("CU-",F74))),"Sin ticket. ","")&amp;IF(ISNA(MATCH(E74,Datos!$E$8:$E$22,0)),"Proyecto sin valor hora. ","")&amp;IF(ISNA(MATCH(D74,Datos!$A$8:$A$22,0)),"Persona fuera del equipo. ","")))</f>
        <v/>
      </c>
      <c r="I74" s="21" t="n"/>
      <c r="J74" s="22" t="n"/>
      <c r="K74" s="23">
        <f>IF(G74="","",IF(J74&lt;&gt;"",MIN(J74,G74),IF(OR(I74="Observada",I74="Rechazada"),0,G74)))</f>
        <v/>
      </c>
      <c r="L74" s="24" t="n"/>
      <c r="M74" s="25">
        <f>IF(OR(A74="",D74=""),0,IF(COUNTIFS($A$2:A74,A74,$D$2:D74,D74)=1,1,0))</f>
        <v/>
      </c>
    </row>
    <row r="75">
      <c r="A75" s="26" t="n">
        <v>46261</v>
      </c>
      <c r="B75" s="27" t="n">
        <v>0.5416666666666666</v>
      </c>
      <c r="C75" s="27" t="n">
        <v>0.6875</v>
      </c>
      <c r="D75" s="28" t="inlineStr">
        <is>
          <t>Matias Zalazar</t>
        </is>
      </c>
      <c r="E75" s="28" t="inlineStr">
        <is>
          <t>Subastas</t>
        </is>
      </c>
      <c r="F75" s="29" t="inlineStr">
        <is>
          <t>Ticket R-012532 - Errores Websockets</t>
        </is>
      </c>
      <c r="G75" s="30" t="n">
        <v>3.5</v>
      </c>
      <c r="H75" s="20">
        <f>IF(A75="","",TRIM(IF(WEEKDAY(A75,2)&gt;5,"Fin de semana. ","")&amp;IF(SUMIFS($G$2:$G$601,$A$2:$A$601,A75,$D$2:$D$601,D75)&gt;9,"Más de 9 h en el día. ","")&amp;IF(AND(B75&lt;&gt;"",C75&lt;&gt;"",C75&lt;B75),"Cruza la medianoche. ","")&amp;IF(LEN(TRIM(F75))&lt;15,"Sin descripción suficiente. ","")&amp;IF(AND(ISERROR(SEARCH("R-0",F75)),ISERROR(SEARCH("CU-",F75))),"Sin ticket. ","")&amp;IF(ISNA(MATCH(E75,Datos!$E$8:$E$22,0)),"Proyecto sin valor hora. ","")&amp;IF(ISNA(MATCH(D75,Datos!$A$8:$A$22,0)),"Persona fuera del equipo. ","")))</f>
        <v/>
      </c>
      <c r="I75" s="21" t="n"/>
      <c r="J75" s="22" t="n"/>
      <c r="K75" s="23">
        <f>IF(G75="","",IF(J75&lt;&gt;"",MIN(J75,G75),IF(OR(I75="Observada",I75="Rechazada"),0,G75)))</f>
        <v/>
      </c>
      <c r="L75" s="24" t="n"/>
      <c r="M75" s="25">
        <f>IF(OR(A75="",D75=""),0,IF(COUNTIFS($A$2:A75,A75,$D$2:D75,D75)=1,1,0))</f>
        <v/>
      </c>
    </row>
    <row r="76">
      <c r="A76" s="26" t="n">
        <v>46262</v>
      </c>
      <c r="B76" s="27" t="n">
        <v>0.34375</v>
      </c>
      <c r="C76" s="27" t="n">
        <v>0.4270833333333333</v>
      </c>
      <c r="D76" s="28" t="inlineStr">
        <is>
          <t>Alexis Carnero</t>
        </is>
      </c>
      <c r="E76" s="28" t="inlineStr">
        <is>
          <t>SELICO</t>
        </is>
      </c>
      <c r="F76" s="29" t="inlineStr">
        <is>
          <t>Reunión "PPTT y RRTT - Revisar precisiones a compromisos" (1 h). Revisión del informe de QA (Aranda 1349249) y del selector Antiguo/Actual D.S. N°135 para los buscadores de inscritos.</t>
        </is>
      </c>
      <c r="G76" s="30" t="n">
        <v>2</v>
      </c>
      <c r="H76" s="20">
        <f>IF(A76="","",TRIM(IF(WEEKDAY(A76,2)&gt;5,"Fin de semana. ","")&amp;IF(SUMIFS($G$2:$G$601,$A$2:$A$601,A76,$D$2:$D$601,D76)&gt;9,"Más de 9 h en el día. ","")&amp;IF(AND(B76&lt;&gt;"",C76&lt;&gt;"",C76&lt;B76),"Cruza la medianoche. ","")&amp;IF(LEN(TRIM(F76))&lt;15,"Sin descripción suficiente. ","")&amp;IF(AND(ISERROR(SEARCH("R-0",F76)),ISERROR(SEARCH("CU-",F76))),"Sin ticket. ","")&amp;IF(ISNA(MATCH(E76,Datos!$E$8:$E$22,0)),"Proyecto sin valor hora. ","")&amp;IF(ISNA(MATCH(D76,Datos!$A$8:$A$22,0)),"Persona fuera del equipo. ","")))</f>
        <v/>
      </c>
      <c r="I76" s="21" t="n"/>
      <c r="J76" s="22" t="n"/>
      <c r="K76" s="23">
        <f>IF(G76="","",IF(J76&lt;&gt;"",MIN(J76,G76),IF(OR(I76="Observada",I76="Rechazada"),0,G76)))</f>
        <v/>
      </c>
      <c r="L76" s="24" t="n"/>
      <c r="M76" s="25">
        <f>IF(OR(A76="",D76=""),0,IF(COUNTIFS($A$2:A76,A76,$D$2:D76,D76)=1,1,0))</f>
        <v/>
      </c>
      <c r="N76"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77">
      <c r="A77" s="26" t="n">
        <v>46262</v>
      </c>
      <c r="B77" s="27" t="n">
        <v>0.4583333333333333</v>
      </c>
      <c r="C77" s="27" t="n">
        <v>0.5</v>
      </c>
      <c r="D77" s="28" t="inlineStr">
        <is>
          <t>Franco Dodera</t>
        </is>
      </c>
      <c r="E77" s="28" t="inlineStr">
        <is>
          <t>SELICO</t>
        </is>
      </c>
      <c r="F77" s="29" t="inlineStr">
        <is>
          <t>Reunion con humberto afinacion de garantia</t>
        </is>
      </c>
      <c r="G77" s="30" t="n">
        <v>1</v>
      </c>
      <c r="H77" s="20">
        <f>IF(A77="","",TRIM(IF(WEEKDAY(A77,2)&gt;5,"Fin de semana. ","")&amp;IF(SUMIFS($G$2:$G$601,$A$2:$A$601,A77,$D$2:$D$601,D77)&gt;9,"Más de 9 h en el día. ","")&amp;IF(AND(B77&lt;&gt;"",C77&lt;&gt;"",C77&lt;B77),"Cruza la medianoche. ","")&amp;IF(LEN(TRIM(F77))&lt;15,"Sin descripción suficiente. ","")&amp;IF(AND(ISERROR(SEARCH("R-0",F77)),ISERROR(SEARCH("CU-",F77))),"Sin ticket. ","")&amp;IF(ISNA(MATCH(E77,Datos!$E$8:$E$22,0)),"Proyecto sin valor hora. ","")&amp;IF(ISNA(MATCH(D77,Datos!$A$8:$A$22,0)),"Persona fuera del equipo. ","")))</f>
        <v/>
      </c>
      <c r="I77" s="21" t="n"/>
      <c r="J77" s="22" t="n"/>
      <c r="K77" s="23">
        <f>IF(G77="","",IF(J77&lt;&gt;"",MIN(J77,G77),IF(OR(I77="Observada",I77="Rechazada"),0,G77)))</f>
        <v/>
      </c>
      <c r="L77" s="24" t="n"/>
      <c r="M77" s="25">
        <f>IF(OR(A77="",D77=""),0,IF(COUNTIFS($A$2:A77,A77,$D$2:D77,D77)=1,1,0))</f>
        <v/>
      </c>
    </row>
    <row r="78">
      <c r="A78" s="26" t="n">
        <v>46262</v>
      </c>
      <c r="B78" s="27" t="n">
        <v>0.4270833333333333</v>
      </c>
      <c r="C78" s="27" t="n">
        <v>0.59375</v>
      </c>
      <c r="D78" s="28" t="inlineStr">
        <is>
          <t>Gabriel Denis</t>
        </is>
      </c>
      <c r="E78" s="28" t="inlineStr">
        <is>
          <t>SELICO</t>
        </is>
      </c>
      <c r="F78" s="29" t="inlineStr">
        <is>
          <t>Entregav41 fix urgente conexión faltante</t>
        </is>
      </c>
      <c r="G78" s="30" t="n">
        <v>4</v>
      </c>
      <c r="H78" s="20">
        <f>IF(A78="","",TRIM(IF(WEEKDAY(A78,2)&gt;5,"Fin de semana. ","")&amp;IF(SUMIFS($G$2:$G$601,$A$2:$A$601,A78,$D$2:$D$601,D78)&gt;9,"Más de 9 h en el día. ","")&amp;IF(AND(B78&lt;&gt;"",C78&lt;&gt;"",C78&lt;B78),"Cruza la medianoche. ","")&amp;IF(LEN(TRIM(F78))&lt;15,"Sin descripción suficiente. ","")&amp;IF(AND(ISERROR(SEARCH("R-0",F78)),ISERROR(SEARCH("CU-",F78))),"Sin ticket. ","")&amp;IF(ISNA(MATCH(E78,Datos!$E$8:$E$22,0)),"Proyecto sin valor hora. ","")&amp;IF(ISNA(MATCH(D78,Datos!$A$8:$A$22,0)),"Persona fuera del equipo. ","")))</f>
        <v/>
      </c>
      <c r="I78" s="21" t="n"/>
      <c r="J78" s="22" t="n"/>
      <c r="K78" s="23">
        <f>IF(G78="","",IF(J78&lt;&gt;"",MIN(J78,G78),IF(OR(I78="Observada",I78="Rechazada"),0,G78)))</f>
        <v/>
      </c>
      <c r="L78" s="24" t="n"/>
      <c r="M78" s="25">
        <f>IF(OR(A78="",D78=""),0,IF(COUNTIFS($A$2:A78,A78,$D$2:D78,D78)=1,1,0))</f>
        <v/>
      </c>
      <c r="N78"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79">
      <c r="A79" s="26" t="n">
        <v>46262</v>
      </c>
      <c r="B79" s="27" t="n">
        <v>0.3333333333333333</v>
      </c>
      <c r="C79" s="27" t="n">
        <v>0.4375</v>
      </c>
      <c r="D79" s="28" t="inlineStr">
        <is>
          <t>Matias Zalazar</t>
        </is>
      </c>
      <c r="E79" s="28" t="inlineStr">
        <is>
          <t>SIAC-OIRS</t>
        </is>
      </c>
      <c r="F79" s="29" t="inlineStr">
        <is>
          <t>Ticket R-012552</t>
        </is>
      </c>
      <c r="G79" s="30" t="n">
        <v>2.5</v>
      </c>
      <c r="H79" s="20">
        <f>IF(A79="","",TRIM(IF(WEEKDAY(A79,2)&gt;5,"Fin de semana. ","")&amp;IF(SUMIFS($G$2:$G$601,$A$2:$A$601,A79,$D$2:$D$601,D79)&gt;9,"Más de 9 h en el día. ","")&amp;IF(AND(B79&lt;&gt;"",C79&lt;&gt;"",C79&lt;B79),"Cruza la medianoche. ","")&amp;IF(LEN(TRIM(F79))&lt;15,"Sin descripción suficiente. ","")&amp;IF(AND(ISERROR(SEARCH("R-0",F79)),ISERROR(SEARCH("CU-",F79))),"Sin ticket. ","")&amp;IF(ISNA(MATCH(E79,Datos!$E$8:$E$22,0)),"Proyecto sin valor hora. ","")&amp;IF(ISNA(MATCH(D79,Datos!$A$8:$A$22,0)),"Persona fuera del equipo. ","")))</f>
        <v/>
      </c>
      <c r="I79" s="21" t="n"/>
      <c r="J79" s="22" t="n"/>
      <c r="K79" s="23">
        <f>IF(G79="","",IF(J79&lt;&gt;"",MIN(J79,G79),IF(OR(I79="Observada",I79="Rechazada"),0,G79)))</f>
        <v/>
      </c>
      <c r="L79" s="24" t="n"/>
      <c r="M79" s="25">
        <f>IF(OR(A79="",D79=""),0,IF(COUNTIFS($A$2:A79,A79,$D$2:D79,D79)=1,1,0))</f>
        <v/>
      </c>
    </row>
    <row r="80">
      <c r="A80" s="26" t="n">
        <v>46262</v>
      </c>
      <c r="B80" s="27" t="n">
        <v>0.4375</v>
      </c>
      <c r="C80" s="27" t="n">
        <v>0.5</v>
      </c>
      <c r="D80" s="28" t="inlineStr">
        <is>
          <t>Matias Zalazar</t>
        </is>
      </c>
      <c r="E80" s="28" t="inlineStr">
        <is>
          <t>Subastas</t>
        </is>
      </c>
      <c r="F80" s="29" t="inlineStr">
        <is>
          <t>Reportes subasta 25</t>
        </is>
      </c>
      <c r="G80" s="30" t="n">
        <v>1.5</v>
      </c>
      <c r="H80" s="20">
        <f>IF(A80="","",TRIM(IF(WEEKDAY(A80,2)&gt;5,"Fin de semana. ","")&amp;IF(SUMIFS($G$2:$G$601,$A$2:$A$601,A80,$D$2:$D$601,D80)&gt;9,"Más de 9 h en el día. ","")&amp;IF(AND(B80&lt;&gt;"",C80&lt;&gt;"",C80&lt;B80),"Cruza la medianoche. ","")&amp;IF(LEN(TRIM(F80))&lt;15,"Sin descripción suficiente. ","")&amp;IF(AND(ISERROR(SEARCH("R-0",F80)),ISERROR(SEARCH("CU-",F80))),"Sin ticket. ","")&amp;IF(ISNA(MATCH(E80,Datos!$E$8:$E$22,0)),"Proyecto sin valor hora. ","")&amp;IF(ISNA(MATCH(D80,Datos!$A$8:$A$22,0)),"Persona fuera del equipo. ","")))</f>
        <v/>
      </c>
      <c r="I80" s="21" t="n"/>
      <c r="J80" s="22" t="n"/>
      <c r="K80" s="23">
        <f>IF(G80="","",IF(J80&lt;&gt;"",MIN(J80,G80),IF(OR(I80="Observada",I80="Rechazada"),0,G80)))</f>
        <v/>
      </c>
      <c r="L80" s="24" t="n"/>
      <c r="M80" s="25">
        <f>IF(OR(A80="",D80=""),0,IF(COUNTIFS($A$2:A80,A80,$D$2:D80,D80)=1,1,0))</f>
        <v/>
      </c>
    </row>
    <row r="81">
      <c r="A81" s="26" t="n">
        <v>46262</v>
      </c>
      <c r="B81" s="27" t="n">
        <v>0.5</v>
      </c>
      <c r="C81" s="27" t="n">
        <v>0.6458333333333334</v>
      </c>
      <c r="D81" s="28" t="inlineStr">
        <is>
          <t>Matias Zalazar</t>
        </is>
      </c>
      <c r="E81" s="28" t="inlineStr">
        <is>
          <t>SELICO</t>
        </is>
      </c>
      <c r="F81" s="29" t="inlineStr">
        <is>
          <t>Fix vulnerabilidades Ciberseguridad EEEE</t>
        </is>
      </c>
      <c r="G81" s="30" t="n">
        <v>3.5</v>
      </c>
      <c r="H81" s="20">
        <f>IF(A81="","",TRIM(IF(WEEKDAY(A81,2)&gt;5,"Fin de semana. ","")&amp;IF(SUMIFS($G$2:$G$601,$A$2:$A$601,A81,$D$2:$D$601,D81)&gt;9,"Más de 9 h en el día. ","")&amp;IF(AND(B81&lt;&gt;"",C81&lt;&gt;"",C81&lt;B81),"Cruza la medianoche. ","")&amp;IF(LEN(TRIM(F81))&lt;15,"Sin descripción suficiente. ","")&amp;IF(AND(ISERROR(SEARCH("R-0",F81)),ISERROR(SEARCH("CU-",F81))),"Sin ticket. ","")&amp;IF(ISNA(MATCH(E81,Datos!$E$8:$E$22,0)),"Proyecto sin valor hora. ","")&amp;IF(ISNA(MATCH(D81,Datos!$A$8:$A$22,0)),"Persona fuera del equipo. ","")))</f>
        <v/>
      </c>
      <c r="I81" s="21" t="n"/>
      <c r="J81" s="22" t="n"/>
      <c r="K81" s="23">
        <f>IF(G81="","",IF(J81&lt;&gt;"",MIN(J81,G81),IF(OR(I81="Observada",I81="Rechazada"),0,G81)))</f>
        <v/>
      </c>
      <c r="L81" s="24" t="n"/>
      <c r="M81" s="25">
        <f>IF(OR(A81="",D81=""),0,IF(COUNTIFS($A$2:A81,A81,$D$2:D81,D81)=1,1,0))</f>
        <v/>
      </c>
    </row>
    <row r="82">
      <c r="A82" s="26" t="n">
        <v>46265</v>
      </c>
      <c r="B82" s="27" t="n">
        <v>0.5416666666666666</v>
      </c>
      <c r="C82" s="27" t="n">
        <v>0.625</v>
      </c>
      <c r="D82" s="28" t="inlineStr">
        <is>
          <t>Franco Dodera</t>
        </is>
      </c>
      <c r="E82" s="28" t="inlineStr">
        <is>
          <t>SELICO</t>
        </is>
      </c>
      <c r="F82" s="29" t="inlineStr">
        <is>
          <t>Desarrollo script para parametrizacion, y solucion bug, no se pudo probar correctamente falta VPN</t>
        </is>
      </c>
      <c r="G82" s="30" t="n">
        <v>2</v>
      </c>
      <c r="H82" s="20">
        <f>IF(A82="","",TRIM(IF(WEEKDAY(A82,2)&gt;5,"Fin de semana. ","")&amp;IF(SUMIFS($G$2:$G$601,$A$2:$A$601,A82,$D$2:$D$601,D82)&gt;9,"Más de 9 h en el día. ","")&amp;IF(AND(B82&lt;&gt;"",C82&lt;&gt;"",C82&lt;B82),"Cruza la medianoche. ","")&amp;IF(LEN(TRIM(F82))&lt;15,"Sin descripción suficiente. ","")&amp;IF(AND(ISERROR(SEARCH("R-0",F82)),ISERROR(SEARCH("CU-",F82))),"Sin ticket. ","")&amp;IF(ISNA(MATCH(E82,Datos!$E$8:$E$22,0)),"Proyecto sin valor hora. ","")&amp;IF(ISNA(MATCH(D82,Datos!$A$8:$A$22,0)),"Persona fuera del equipo. ","")))</f>
        <v/>
      </c>
      <c r="I82" s="21" t="n"/>
      <c r="J82" s="22" t="n"/>
      <c r="K82" s="23">
        <f>IF(G82="","",IF(J82&lt;&gt;"",MIN(J82,G82),IF(OR(I82="Observada",I82="Rechazada"),0,G82)))</f>
        <v/>
      </c>
      <c r="L82" s="24" t="n"/>
      <c r="M82" s="25">
        <f>IF(OR(A82="",D82=""),0,IF(COUNTIFS($A$2:A82,A82,$D$2:D82,D82)=1,1,0))</f>
        <v/>
      </c>
    </row>
    <row r="83">
      <c r="A83" s="26" t="n">
        <v>46265</v>
      </c>
      <c r="B83" s="27" t="n">
        <v>0.5</v>
      </c>
      <c r="C83" s="27" t="n">
        <v>0.625</v>
      </c>
      <c r="D83" s="28" t="inlineStr">
        <is>
          <t>Lautaro Zalazar</t>
        </is>
      </c>
      <c r="E83" s="28" t="inlineStr">
        <is>
          <t>Victorius 3</t>
        </is>
      </c>
      <c r="F83" s="29" t="inlineStr">
        <is>
          <t>Ampliación estimación gobierno de córdoba</t>
        </is>
      </c>
      <c r="G83" s="30" t="n">
        <v>3</v>
      </c>
      <c r="H83" s="20">
        <f>IF(A83="","",TRIM(IF(WEEKDAY(A83,2)&gt;5,"Fin de semana. ","")&amp;IF(SUMIFS($G$2:$G$601,$A$2:$A$601,A83,$D$2:$D$601,D83)&gt;9,"Más de 9 h en el día. ","")&amp;IF(AND(B83&lt;&gt;"",C83&lt;&gt;"",C83&lt;B83),"Cruza la medianoche. ","")&amp;IF(LEN(TRIM(F83))&lt;15,"Sin descripción suficiente. ","")&amp;IF(AND(ISERROR(SEARCH("R-0",F83)),ISERROR(SEARCH("CU-",F83))),"Sin ticket. ","")&amp;IF(ISNA(MATCH(E83,Datos!$E$8:$E$22,0)),"Proyecto sin valor hora. ","")&amp;IF(ISNA(MATCH(D83,Datos!$A$8:$A$22,0)),"Persona fuera del equipo. ","")))</f>
        <v/>
      </c>
      <c r="I83" s="21" t="n"/>
      <c r="J83" s="22" t="n"/>
      <c r="K83" s="23">
        <f>IF(G83="","",IF(J83&lt;&gt;"",MIN(J83,G83),IF(OR(I83="Observada",I83="Rechazada"),0,G83)))</f>
        <v/>
      </c>
      <c r="L83" s="24" t="n"/>
      <c r="M83" s="25">
        <f>IF(OR(A83="",D83=""),0,IF(COUNTIFS($A$2:A83,A83,$D$2:D83,D83)=1,1,0))</f>
        <v/>
      </c>
    </row>
    <row r="84">
      <c r="A84" s="26" t="n">
        <v>46265</v>
      </c>
      <c r="B84" s="27" t="n">
        <v>0.4583333333333333</v>
      </c>
      <c r="C84" s="27" t="n">
        <v>0.5</v>
      </c>
      <c r="D84" s="28" t="inlineStr">
        <is>
          <t>Luciano Carducci</t>
        </is>
      </c>
      <c r="E84" s="28" t="inlineStr">
        <is>
          <t>VictoriusCP2</t>
        </is>
      </c>
      <c r="F84" s="29" t="inlineStr">
        <is>
          <t>Revisión ticket Olacefs: Corrección información EFS Aruba.</t>
        </is>
      </c>
      <c r="G84" s="30" t="n">
        <v>1</v>
      </c>
      <c r="H84" s="20">
        <f>IF(A84="","",TRIM(IF(WEEKDAY(A84,2)&gt;5,"Fin de semana. ","")&amp;IF(SUMIFS($G$2:$G$601,$A$2:$A$601,A84,$D$2:$D$601,D84)&gt;9,"Más de 9 h en el día. ","")&amp;IF(AND(B84&lt;&gt;"",C84&lt;&gt;"",C84&lt;B84),"Cruza la medianoche. ","")&amp;IF(LEN(TRIM(F84))&lt;15,"Sin descripción suficiente. ","")&amp;IF(AND(ISERROR(SEARCH("R-0",F84)),ISERROR(SEARCH("CU-",F84))),"Sin ticket. ","")&amp;IF(ISNA(MATCH(E84,Datos!$E$8:$E$22,0)),"Proyecto sin valor hora. ","")&amp;IF(ISNA(MATCH(D84,Datos!$A$8:$A$22,0)),"Persona fuera del equipo. ","")))</f>
        <v/>
      </c>
      <c r="I84" s="21" t="n"/>
      <c r="J84" s="22" t="n"/>
      <c r="K84" s="23">
        <f>IF(G84="","",IF(J84&lt;&gt;"",MIN(J84,G84),IF(OR(I84="Observada",I84="Rechazada"),0,G84)))</f>
        <v/>
      </c>
      <c r="L84" s="24" t="n"/>
      <c r="M84" s="25">
        <f>IF(OR(A84="",D84=""),0,IF(COUNTIFS($A$2:A84,A84,$D$2:D84,D84)=1,1,0))</f>
        <v/>
      </c>
    </row>
    <row r="85">
      <c r="A85" s="26" t="n">
        <v>46265</v>
      </c>
      <c r="B85" s="27" t="n">
        <v>0.7083333333333334</v>
      </c>
      <c r="C85" s="27" t="n">
        <v>0.75</v>
      </c>
      <c r="D85" s="28" t="inlineStr">
        <is>
          <t>Matias Zalazar</t>
        </is>
      </c>
      <c r="E85" s="28" t="inlineStr">
        <is>
          <t>SIAC-OIRS</t>
        </is>
      </c>
      <c r="F85" s="29" t="inlineStr">
        <is>
          <t>Ticket R-012528</t>
        </is>
      </c>
      <c r="G85" s="30" t="n">
        <v>1</v>
      </c>
      <c r="H85" s="20">
        <f>IF(A85="","",TRIM(IF(WEEKDAY(A85,2)&gt;5,"Fin de semana. ","")&amp;IF(SUMIFS($G$2:$G$601,$A$2:$A$601,A85,$D$2:$D$601,D85)&gt;9,"Más de 9 h en el día. ","")&amp;IF(AND(B85&lt;&gt;"",C85&lt;&gt;"",C85&lt;B85),"Cruza la medianoche. ","")&amp;IF(LEN(TRIM(F85))&lt;15,"Sin descripción suficiente. ","")&amp;IF(AND(ISERROR(SEARCH("R-0",F85)),ISERROR(SEARCH("CU-",F85))),"Sin ticket. ","")&amp;IF(ISNA(MATCH(E85,Datos!$E$8:$E$22,0)),"Proyecto sin valor hora. ","")&amp;IF(ISNA(MATCH(D85,Datos!$A$8:$A$22,0)),"Persona fuera del equipo. ","")))</f>
        <v/>
      </c>
      <c r="I85" s="21" t="n"/>
      <c r="J85" s="22" t="n"/>
      <c r="K85" s="23">
        <f>IF(G85="","",IF(J85&lt;&gt;"",MIN(J85,G85),IF(OR(I85="Observada",I85="Rechazada"),0,G85)))</f>
        <v/>
      </c>
      <c r="L85" s="24" t="n"/>
      <c r="M85" s="25">
        <f>IF(OR(A85="",D85=""),0,IF(COUNTIFS($A$2:A85,A85,$D$2:D85,D85)=1,1,0))</f>
        <v/>
      </c>
    </row>
    <row r="86">
      <c r="A86" s="26" t="n"/>
      <c r="B86" s="27" t="n"/>
      <c r="C86" s="27" t="n"/>
      <c r="D86" s="28" t="n"/>
      <c r="E86" s="28" t="n"/>
      <c r="F86" s="29" t="n"/>
      <c r="G86" s="30" t="n"/>
      <c r="H86" s="20">
        <f>IF(A86="","",TRIM(IF(WEEKDAY(A86,2)&gt;5,"Fin de semana. ","")&amp;IF(SUMIFS($G$2:$G$601,$A$2:$A$601,A86,$D$2:$D$601,D86)&gt;9,"Más de 9 h en el día. ","")&amp;IF(AND(B86&lt;&gt;"",C86&lt;&gt;"",C86&lt;B86),"Cruza la medianoche. ","")&amp;IF(LEN(TRIM(F86))&lt;15,"Sin descripción suficiente. ","")&amp;IF(AND(ISERROR(SEARCH("R-0",F86)),ISERROR(SEARCH("CU-",F86))),"Sin ticket. ","")&amp;IF(ISNA(MATCH(E86,Datos!$E$8:$E$22,0)),"Proyecto sin valor hora. ","")&amp;IF(ISNA(MATCH(D86,Datos!$A$8:$A$22,0)),"Persona fuera del equipo. ","")))</f>
        <v/>
      </c>
      <c r="I86" s="21" t="n"/>
      <c r="J86" s="22" t="n"/>
      <c r="K86" s="23">
        <f>IF(G86="","",IF(J86&lt;&gt;"",MIN(J86,G86),IF(OR(I86="Observada",I86="Rechazada"),0,G86)))</f>
        <v/>
      </c>
      <c r="L86" s="24" t="n"/>
      <c r="M86" s="25">
        <f>IF(OR(A86="",D86=""),0,IF(COUNTIFS($A$2:A86,A86,$D$2:D86,D86)=1,1,0))</f>
        <v/>
      </c>
    </row>
    <row r="87">
      <c r="A87" s="26" t="n"/>
      <c r="B87" s="27" t="n"/>
      <c r="C87" s="27" t="n"/>
      <c r="D87" s="28" t="n"/>
      <c r="E87" s="28" t="n"/>
      <c r="F87" s="29" t="n"/>
      <c r="G87" s="30" t="n"/>
      <c r="H87" s="20">
        <f>IF(A87="","",TRIM(IF(WEEKDAY(A87,2)&gt;5,"Fin de semana. ","")&amp;IF(SUMIFS($G$2:$G$601,$A$2:$A$601,A87,$D$2:$D$601,D87)&gt;9,"Más de 9 h en el día. ","")&amp;IF(AND(B87&lt;&gt;"",C87&lt;&gt;"",C87&lt;B87),"Cruza la medianoche. ","")&amp;IF(LEN(TRIM(F87))&lt;15,"Sin descripción suficiente. ","")&amp;IF(AND(ISERROR(SEARCH("R-0",F87)),ISERROR(SEARCH("CU-",F87))),"Sin ticket. ","")&amp;IF(ISNA(MATCH(E87,Datos!$E$8:$E$22,0)),"Proyecto sin valor hora. ","")&amp;IF(ISNA(MATCH(D87,Datos!$A$8:$A$22,0)),"Persona fuera del equipo. ","")))</f>
        <v/>
      </c>
      <c r="I87" s="21" t="n"/>
      <c r="J87" s="22" t="n"/>
      <c r="K87" s="23">
        <f>IF(G87="","",IF(J87&lt;&gt;"",MIN(J87,G87),IF(OR(I87="Observada",I87="Rechazada"),0,G87)))</f>
        <v/>
      </c>
      <c r="L87" s="24" t="n"/>
      <c r="M87" s="25">
        <f>IF(OR(A87="",D87=""),0,IF(COUNTIFS($A$2:A87,A87,$D$2:D87,D87)=1,1,0))</f>
        <v/>
      </c>
    </row>
    <row r="88">
      <c r="A88" s="26" t="n"/>
      <c r="B88" s="27" t="n"/>
      <c r="C88" s="27" t="n"/>
      <c r="D88" s="28" t="n"/>
      <c r="E88" s="28" t="n"/>
      <c r="F88" s="29" t="n"/>
      <c r="G88" s="30" t="n"/>
      <c r="H88" s="20">
        <f>IF(A88="","",TRIM(IF(WEEKDAY(A88,2)&gt;5,"Fin de semana. ","")&amp;IF(SUMIFS($G$2:$G$601,$A$2:$A$601,A88,$D$2:$D$601,D88)&gt;9,"Más de 9 h en el día. ","")&amp;IF(AND(B88&lt;&gt;"",C88&lt;&gt;"",C88&lt;B88),"Cruza la medianoche. ","")&amp;IF(LEN(TRIM(F88))&lt;15,"Sin descripción suficiente. ","")&amp;IF(AND(ISERROR(SEARCH("R-0",F88)),ISERROR(SEARCH("CU-",F88))),"Sin ticket. ","")&amp;IF(ISNA(MATCH(E88,Datos!$E$8:$E$22,0)),"Proyecto sin valor hora. ","")&amp;IF(ISNA(MATCH(D88,Datos!$A$8:$A$22,0)),"Persona fuera del equipo. ","")))</f>
        <v/>
      </c>
      <c r="I88" s="21" t="n"/>
      <c r="J88" s="22" t="n"/>
      <c r="K88" s="23">
        <f>IF(G88="","",IF(J88&lt;&gt;"",MIN(J88,G88),IF(OR(I88="Observada",I88="Rechazada"),0,G88)))</f>
        <v/>
      </c>
      <c r="L88" s="24" t="n"/>
      <c r="M88" s="25">
        <f>IF(OR(A88="",D88=""),0,IF(COUNTIFS($A$2:A88,A88,$D$2:D88,D88)=1,1,0))</f>
        <v/>
      </c>
    </row>
    <row r="89">
      <c r="A89" s="26" t="n"/>
      <c r="B89" s="27" t="n"/>
      <c r="C89" s="27" t="n"/>
      <c r="D89" s="28" t="n"/>
      <c r="E89" s="28" t="n"/>
      <c r="F89" s="29" t="n"/>
      <c r="G89" s="30" t="n"/>
      <c r="H89" s="20">
        <f>IF(A89="","",TRIM(IF(WEEKDAY(A89,2)&gt;5,"Fin de semana. ","")&amp;IF(SUMIFS($G$2:$G$601,$A$2:$A$601,A89,$D$2:$D$601,D89)&gt;9,"Más de 9 h en el día. ","")&amp;IF(AND(B89&lt;&gt;"",C89&lt;&gt;"",C89&lt;B89),"Cruza la medianoche. ","")&amp;IF(LEN(TRIM(F89))&lt;15,"Sin descripción suficiente. ","")&amp;IF(AND(ISERROR(SEARCH("R-0",F89)),ISERROR(SEARCH("CU-",F89))),"Sin ticket. ","")&amp;IF(ISNA(MATCH(E89,Datos!$E$8:$E$22,0)),"Proyecto sin valor hora. ","")&amp;IF(ISNA(MATCH(D89,Datos!$A$8:$A$22,0)),"Persona fuera del equipo. ","")))</f>
        <v/>
      </c>
      <c r="I89" s="21" t="n"/>
      <c r="J89" s="22" t="n"/>
      <c r="K89" s="23">
        <f>IF(G89="","",IF(J89&lt;&gt;"",MIN(J89,G89),IF(OR(I89="Observada",I89="Rechazada"),0,G89)))</f>
        <v/>
      </c>
      <c r="L89" s="24" t="n"/>
      <c r="M89" s="25">
        <f>IF(OR(A89="",D89=""),0,IF(COUNTIFS($A$2:A89,A89,$D$2:D89,D89)=1,1,0))</f>
        <v/>
      </c>
    </row>
    <row r="90">
      <c r="A90" s="26" t="n"/>
      <c r="B90" s="27" t="n"/>
      <c r="C90" s="27" t="n"/>
      <c r="D90" s="28" t="n"/>
      <c r="E90" s="28" t="n"/>
      <c r="F90" s="29" t="n"/>
      <c r="G90" s="30" t="n"/>
      <c r="H90" s="20">
        <f>IF(A90="","",TRIM(IF(WEEKDAY(A90,2)&gt;5,"Fin de semana. ","")&amp;IF(SUMIFS($G$2:$G$601,$A$2:$A$601,A90,$D$2:$D$601,D90)&gt;9,"Más de 9 h en el día. ","")&amp;IF(AND(B90&lt;&gt;"",C90&lt;&gt;"",C90&lt;B90),"Cruza la medianoche. ","")&amp;IF(LEN(TRIM(F90))&lt;15,"Sin descripción suficiente. ","")&amp;IF(AND(ISERROR(SEARCH("R-0",F90)),ISERROR(SEARCH("CU-",F90))),"Sin ticket. ","")&amp;IF(ISNA(MATCH(E90,Datos!$E$8:$E$22,0)),"Proyecto sin valor hora. ","")&amp;IF(ISNA(MATCH(D90,Datos!$A$8:$A$22,0)),"Persona fuera del equipo. ","")))</f>
        <v/>
      </c>
      <c r="I90" s="21" t="n"/>
      <c r="J90" s="22" t="n"/>
      <c r="K90" s="23">
        <f>IF(G90="","",IF(J90&lt;&gt;"",MIN(J90,G90),IF(OR(I90="Observada",I90="Rechazada"),0,G90)))</f>
        <v/>
      </c>
      <c r="L90" s="24" t="n"/>
      <c r="M90" s="25">
        <f>IF(OR(A90="",D90=""),0,IF(COUNTIFS($A$2:A90,A90,$D$2:D90,D90)=1,1,0))</f>
        <v/>
      </c>
    </row>
    <row r="91">
      <c r="A91" s="26" t="n"/>
      <c r="B91" s="27" t="n"/>
      <c r="C91" s="27" t="n"/>
      <c r="D91" s="28" t="n"/>
      <c r="E91" s="28" t="n"/>
      <c r="F91" s="29" t="n"/>
      <c r="G91" s="30" t="n"/>
      <c r="H91" s="20">
        <f>IF(A91="","",TRIM(IF(WEEKDAY(A91,2)&gt;5,"Fin de semana. ","")&amp;IF(SUMIFS($G$2:$G$601,$A$2:$A$601,A91,$D$2:$D$601,D91)&gt;9,"Más de 9 h en el día. ","")&amp;IF(AND(B91&lt;&gt;"",C91&lt;&gt;"",C91&lt;B91),"Cruza la medianoche. ","")&amp;IF(LEN(TRIM(F91))&lt;15,"Sin descripción suficiente. ","")&amp;IF(AND(ISERROR(SEARCH("R-0",F91)),ISERROR(SEARCH("CU-",F91))),"Sin ticket. ","")&amp;IF(ISNA(MATCH(E91,Datos!$E$8:$E$22,0)),"Proyecto sin valor hora. ","")&amp;IF(ISNA(MATCH(D91,Datos!$A$8:$A$22,0)),"Persona fuera del equipo. ","")))</f>
        <v/>
      </c>
      <c r="I91" s="21" t="n"/>
      <c r="J91" s="22" t="n"/>
      <c r="K91" s="23">
        <f>IF(G91="","",IF(J91&lt;&gt;"",MIN(J91,G91),IF(OR(I91="Observada",I91="Rechazada"),0,G91)))</f>
        <v/>
      </c>
      <c r="L91" s="24" t="n"/>
      <c r="M91" s="25">
        <f>IF(OR(A91="",D91=""),0,IF(COUNTIFS($A$2:A91,A91,$D$2:D91,D91)=1,1,0))</f>
        <v/>
      </c>
    </row>
    <row r="92">
      <c r="A92" s="26" t="n"/>
      <c r="B92" s="27" t="n"/>
      <c r="C92" s="27" t="n"/>
      <c r="D92" s="28" t="n"/>
      <c r="E92" s="28" t="n"/>
      <c r="F92" s="29" t="n"/>
      <c r="G92" s="30" t="n"/>
      <c r="H92" s="20">
        <f>IF(A92="","",TRIM(IF(WEEKDAY(A92,2)&gt;5,"Fin de semana. ","")&amp;IF(SUMIFS($G$2:$G$601,$A$2:$A$601,A92,$D$2:$D$601,D92)&gt;9,"Más de 9 h en el día. ","")&amp;IF(AND(B92&lt;&gt;"",C92&lt;&gt;"",C92&lt;B92),"Cruza la medianoche. ","")&amp;IF(LEN(TRIM(F92))&lt;15,"Sin descripción suficiente. ","")&amp;IF(AND(ISERROR(SEARCH("R-0",F92)),ISERROR(SEARCH("CU-",F92))),"Sin ticket. ","")&amp;IF(ISNA(MATCH(E92,Datos!$E$8:$E$22,0)),"Proyecto sin valor hora. ","")&amp;IF(ISNA(MATCH(D92,Datos!$A$8:$A$22,0)),"Persona fuera del equipo. ","")))</f>
        <v/>
      </c>
      <c r="I92" s="21" t="n"/>
      <c r="J92" s="22" t="n"/>
      <c r="K92" s="23">
        <f>IF(G92="","",IF(J92&lt;&gt;"",MIN(J92,G92),IF(OR(I92="Observada",I92="Rechazada"),0,G92)))</f>
        <v/>
      </c>
      <c r="L92" s="24" t="n"/>
      <c r="M92" s="25">
        <f>IF(OR(A92="",D92=""),0,IF(COUNTIFS($A$2:A92,A92,$D$2:D92,D92)=1,1,0))</f>
        <v/>
      </c>
    </row>
    <row r="93">
      <c r="A93" s="26" t="n"/>
      <c r="B93" s="27" t="n"/>
      <c r="C93" s="27" t="n"/>
      <c r="D93" s="28" t="n"/>
      <c r="E93" s="28" t="n"/>
      <c r="F93" s="29" t="n"/>
      <c r="G93" s="30" t="n"/>
      <c r="H93" s="20">
        <f>IF(A93="","",TRIM(IF(WEEKDAY(A93,2)&gt;5,"Fin de semana. ","")&amp;IF(SUMIFS($G$2:$G$601,$A$2:$A$601,A93,$D$2:$D$601,D93)&gt;9,"Más de 9 h en el día. ","")&amp;IF(AND(B93&lt;&gt;"",C93&lt;&gt;"",C93&lt;B93),"Cruza la medianoche. ","")&amp;IF(LEN(TRIM(F93))&lt;15,"Sin descripción suficiente. ","")&amp;IF(AND(ISERROR(SEARCH("R-0",F93)),ISERROR(SEARCH("CU-",F93))),"Sin ticket. ","")&amp;IF(ISNA(MATCH(E93,Datos!$E$8:$E$22,0)),"Proyecto sin valor hora. ","")&amp;IF(ISNA(MATCH(D93,Datos!$A$8:$A$22,0)),"Persona fuera del equipo. ","")))</f>
        <v/>
      </c>
      <c r="I93" s="21" t="n"/>
      <c r="J93" s="22" t="n"/>
      <c r="K93" s="23">
        <f>IF(G93="","",IF(J93&lt;&gt;"",MIN(J93,G93),IF(OR(I93="Observada",I93="Rechazada"),0,G93)))</f>
        <v/>
      </c>
      <c r="L93" s="24" t="n"/>
      <c r="M93" s="25">
        <f>IF(OR(A93="",D93=""),0,IF(COUNTIFS($A$2:A93,A93,$D$2:D93,D93)=1,1,0))</f>
        <v/>
      </c>
    </row>
    <row r="94">
      <c r="A94" s="26" t="n"/>
      <c r="B94" s="27" t="n"/>
      <c r="C94" s="27" t="n"/>
      <c r="D94" s="28" t="n"/>
      <c r="E94" s="28" t="n"/>
      <c r="F94" s="29" t="n"/>
      <c r="G94" s="30" t="n"/>
      <c r="H94" s="20">
        <f>IF(A94="","",TRIM(IF(WEEKDAY(A94,2)&gt;5,"Fin de semana. ","")&amp;IF(SUMIFS($G$2:$G$601,$A$2:$A$601,A94,$D$2:$D$601,D94)&gt;9,"Más de 9 h en el día. ","")&amp;IF(AND(B94&lt;&gt;"",C94&lt;&gt;"",C94&lt;B94),"Cruza la medianoche. ","")&amp;IF(LEN(TRIM(F94))&lt;15,"Sin descripción suficiente. ","")&amp;IF(AND(ISERROR(SEARCH("R-0",F94)),ISERROR(SEARCH("CU-",F94))),"Sin ticket. ","")&amp;IF(ISNA(MATCH(E94,Datos!$E$8:$E$22,0)),"Proyecto sin valor hora. ","")&amp;IF(ISNA(MATCH(D94,Datos!$A$8:$A$22,0)),"Persona fuera del equipo. ","")))</f>
        <v/>
      </c>
      <c r="I94" s="21" t="n"/>
      <c r="J94" s="22" t="n"/>
      <c r="K94" s="23">
        <f>IF(G94="","",IF(J94&lt;&gt;"",MIN(J94,G94),IF(OR(I94="Observada",I94="Rechazada"),0,G94)))</f>
        <v/>
      </c>
      <c r="L94" s="24" t="n"/>
      <c r="M94" s="25">
        <f>IF(OR(A94="",D94=""),0,IF(COUNTIFS($A$2:A94,A94,$D$2:D94,D94)=1,1,0))</f>
        <v/>
      </c>
    </row>
    <row r="95">
      <c r="A95" s="26" t="n"/>
      <c r="B95" s="27" t="n"/>
      <c r="C95" s="27" t="n"/>
      <c r="D95" s="28" t="n"/>
      <c r="E95" s="28" t="n"/>
      <c r="F95" s="29" t="n"/>
      <c r="G95" s="30" t="n"/>
      <c r="H95" s="20">
        <f>IF(A95="","",TRIM(IF(WEEKDAY(A95,2)&gt;5,"Fin de semana. ","")&amp;IF(SUMIFS($G$2:$G$601,$A$2:$A$601,A95,$D$2:$D$601,D95)&gt;9,"Más de 9 h en el día. ","")&amp;IF(AND(B95&lt;&gt;"",C95&lt;&gt;"",C95&lt;B95),"Cruza la medianoche. ","")&amp;IF(LEN(TRIM(F95))&lt;15,"Sin descripción suficiente. ","")&amp;IF(AND(ISERROR(SEARCH("R-0",F95)),ISERROR(SEARCH("CU-",F95))),"Sin ticket. ","")&amp;IF(ISNA(MATCH(E95,Datos!$E$8:$E$22,0)),"Proyecto sin valor hora. ","")&amp;IF(ISNA(MATCH(D95,Datos!$A$8:$A$22,0)),"Persona fuera del equipo. ","")))</f>
        <v/>
      </c>
      <c r="I95" s="21" t="n"/>
      <c r="J95" s="22" t="n"/>
      <c r="K95" s="23">
        <f>IF(G95="","",IF(J95&lt;&gt;"",MIN(J95,G95),IF(OR(I95="Observada",I95="Rechazada"),0,G95)))</f>
        <v/>
      </c>
      <c r="L95" s="24" t="n"/>
      <c r="M95" s="25">
        <f>IF(OR(A95="",D95=""),0,IF(COUNTIFS($A$2:A95,A95,$D$2:D95,D95)=1,1,0))</f>
        <v/>
      </c>
    </row>
    <row r="96">
      <c r="A96" s="26" t="n"/>
      <c r="B96" s="27" t="n"/>
      <c r="C96" s="27" t="n"/>
      <c r="D96" s="28" t="n"/>
      <c r="E96" s="28" t="n"/>
      <c r="F96" s="29" t="n"/>
      <c r="G96" s="30" t="n"/>
      <c r="H96" s="20">
        <f>IF(A96="","",TRIM(IF(WEEKDAY(A96,2)&gt;5,"Fin de semana. ","")&amp;IF(SUMIFS($G$2:$G$601,$A$2:$A$601,A96,$D$2:$D$601,D96)&gt;9,"Más de 9 h en el día. ","")&amp;IF(AND(B96&lt;&gt;"",C96&lt;&gt;"",C96&lt;B96),"Cruza la medianoche. ","")&amp;IF(LEN(TRIM(F96))&lt;15,"Sin descripción suficiente. ","")&amp;IF(AND(ISERROR(SEARCH("R-0",F96)),ISERROR(SEARCH("CU-",F96))),"Sin ticket. ","")&amp;IF(ISNA(MATCH(E96,Datos!$E$8:$E$22,0)),"Proyecto sin valor hora. ","")&amp;IF(ISNA(MATCH(D96,Datos!$A$8:$A$22,0)),"Persona fuera del equipo. ","")))</f>
        <v/>
      </c>
      <c r="I96" s="21" t="n"/>
      <c r="J96" s="22" t="n"/>
      <c r="K96" s="23">
        <f>IF(G96="","",IF(J96&lt;&gt;"",MIN(J96,G96),IF(OR(I96="Observada",I96="Rechazada"),0,G96)))</f>
        <v/>
      </c>
      <c r="L96" s="24" t="n"/>
      <c r="M96" s="25">
        <f>IF(OR(A96="",D96=""),0,IF(COUNTIFS($A$2:A96,A96,$D$2:D96,D96)=1,1,0))</f>
        <v/>
      </c>
    </row>
    <row r="97">
      <c r="A97" s="26" t="n"/>
      <c r="B97" s="27" t="n"/>
      <c r="C97" s="27" t="n"/>
      <c r="D97" s="28" t="n"/>
      <c r="E97" s="28" t="n"/>
      <c r="F97" s="29" t="n"/>
      <c r="G97" s="30" t="n"/>
      <c r="H97" s="20">
        <f>IF(A97="","",TRIM(IF(WEEKDAY(A97,2)&gt;5,"Fin de semana. ","")&amp;IF(SUMIFS($G$2:$G$601,$A$2:$A$601,A97,$D$2:$D$601,D97)&gt;9,"Más de 9 h en el día. ","")&amp;IF(AND(B97&lt;&gt;"",C97&lt;&gt;"",C97&lt;B97),"Cruza la medianoche. ","")&amp;IF(LEN(TRIM(F97))&lt;15,"Sin descripción suficiente. ","")&amp;IF(AND(ISERROR(SEARCH("R-0",F97)),ISERROR(SEARCH("CU-",F97))),"Sin ticket. ","")&amp;IF(ISNA(MATCH(E97,Datos!$E$8:$E$22,0)),"Proyecto sin valor hora. ","")&amp;IF(ISNA(MATCH(D97,Datos!$A$8:$A$22,0)),"Persona fuera del equipo. ","")))</f>
        <v/>
      </c>
      <c r="I97" s="21" t="n"/>
      <c r="J97" s="22" t="n"/>
      <c r="K97" s="23">
        <f>IF(G97="","",IF(J97&lt;&gt;"",MIN(J97,G97),IF(OR(I97="Observada",I97="Rechazada"),0,G97)))</f>
        <v/>
      </c>
      <c r="L97" s="24" t="n"/>
      <c r="M97" s="25">
        <f>IF(OR(A97="",D97=""),0,IF(COUNTIFS($A$2:A97,A97,$D$2:D97,D97)=1,1,0))</f>
        <v/>
      </c>
    </row>
    <row r="98">
      <c r="A98" s="26" t="n"/>
      <c r="B98" s="27" t="n"/>
      <c r="C98" s="27" t="n"/>
      <c r="D98" s="28" t="n"/>
      <c r="E98" s="28" t="n"/>
      <c r="F98" s="29" t="n"/>
      <c r="G98" s="30" t="n"/>
      <c r="H98" s="20">
        <f>IF(A98="","",TRIM(IF(WEEKDAY(A98,2)&gt;5,"Fin de semana. ","")&amp;IF(SUMIFS($G$2:$G$601,$A$2:$A$601,A98,$D$2:$D$601,D98)&gt;9,"Más de 9 h en el día. ","")&amp;IF(AND(B98&lt;&gt;"",C98&lt;&gt;"",C98&lt;B98),"Cruza la medianoche. ","")&amp;IF(LEN(TRIM(F98))&lt;15,"Sin descripción suficiente. ","")&amp;IF(AND(ISERROR(SEARCH("R-0",F98)),ISERROR(SEARCH("CU-",F98))),"Sin ticket. ","")&amp;IF(ISNA(MATCH(E98,Datos!$E$8:$E$22,0)),"Proyecto sin valor hora. ","")&amp;IF(ISNA(MATCH(D98,Datos!$A$8:$A$22,0)),"Persona fuera del equipo. ","")))</f>
        <v/>
      </c>
      <c r="I98" s="21" t="n"/>
      <c r="J98" s="22" t="n"/>
      <c r="K98" s="23">
        <f>IF(G98="","",IF(J98&lt;&gt;"",MIN(J98,G98),IF(OR(I98="Observada",I98="Rechazada"),0,G98)))</f>
        <v/>
      </c>
      <c r="L98" s="24" t="n"/>
      <c r="M98" s="25">
        <f>IF(OR(A98="",D98=""),0,IF(COUNTIFS($A$2:A98,A98,$D$2:D98,D98)=1,1,0))</f>
        <v/>
      </c>
    </row>
    <row r="99">
      <c r="A99" s="26" t="n"/>
      <c r="B99" s="27" t="n"/>
      <c r="C99" s="27" t="n"/>
      <c r="D99" s="28" t="n"/>
      <c r="E99" s="28" t="n"/>
      <c r="F99" s="29" t="n"/>
      <c r="G99" s="30" t="n"/>
      <c r="H99" s="20">
        <f>IF(A99="","",TRIM(IF(WEEKDAY(A99,2)&gt;5,"Fin de semana. ","")&amp;IF(SUMIFS($G$2:$G$601,$A$2:$A$601,A99,$D$2:$D$601,D99)&gt;9,"Más de 9 h en el día. ","")&amp;IF(AND(B99&lt;&gt;"",C99&lt;&gt;"",C99&lt;B99),"Cruza la medianoche. ","")&amp;IF(LEN(TRIM(F99))&lt;15,"Sin descripción suficiente. ","")&amp;IF(AND(ISERROR(SEARCH("R-0",F99)),ISERROR(SEARCH("CU-",F99))),"Sin ticket. ","")&amp;IF(ISNA(MATCH(E99,Datos!$E$8:$E$22,0)),"Proyecto sin valor hora. ","")&amp;IF(ISNA(MATCH(D99,Datos!$A$8:$A$22,0)),"Persona fuera del equipo. ","")))</f>
        <v/>
      </c>
      <c r="I99" s="21" t="n"/>
      <c r="J99" s="22" t="n"/>
      <c r="K99" s="23">
        <f>IF(G99="","",IF(J99&lt;&gt;"",MIN(J99,G99),IF(OR(I99="Observada",I99="Rechazada"),0,G99)))</f>
        <v/>
      </c>
      <c r="L99" s="24" t="n"/>
      <c r="M99" s="25">
        <f>IF(OR(A99="",D99=""),0,IF(COUNTIFS($A$2:A99,A99,$D$2:D99,D99)=1,1,0))</f>
        <v/>
      </c>
    </row>
    <row r="100">
      <c r="A100" s="26" t="n"/>
      <c r="B100" s="27" t="n"/>
      <c r="C100" s="27" t="n"/>
      <c r="D100" s="28" t="n"/>
      <c r="E100" s="28" t="n"/>
      <c r="F100" s="29" t="n"/>
      <c r="G100" s="30" t="n"/>
      <c r="H100" s="20">
        <f>IF(A100="","",TRIM(IF(WEEKDAY(A100,2)&gt;5,"Fin de semana. ","")&amp;IF(SUMIFS($G$2:$G$601,$A$2:$A$601,A100,$D$2:$D$601,D100)&gt;9,"Más de 9 h en el día. ","")&amp;IF(AND(B100&lt;&gt;"",C100&lt;&gt;"",C100&lt;B100),"Cruza la medianoche. ","")&amp;IF(LEN(TRIM(F100))&lt;15,"Sin descripción suficiente. ","")&amp;IF(AND(ISERROR(SEARCH("R-0",F100)),ISERROR(SEARCH("CU-",F100))),"Sin ticket. ","")&amp;IF(ISNA(MATCH(E100,Datos!$E$8:$E$22,0)),"Proyecto sin valor hora. ","")&amp;IF(ISNA(MATCH(D100,Datos!$A$8:$A$22,0)),"Persona fuera del equipo. ","")))</f>
        <v/>
      </c>
      <c r="I100" s="21" t="n"/>
      <c r="J100" s="22" t="n"/>
      <c r="K100" s="23">
        <f>IF(G100="","",IF(J100&lt;&gt;"",MIN(J100,G100),IF(OR(I100="Observada",I100="Rechazada"),0,G100)))</f>
        <v/>
      </c>
      <c r="L100" s="24" t="n"/>
      <c r="M100" s="25">
        <f>IF(OR(A100="",D100=""),0,IF(COUNTIFS($A$2:A100,A100,$D$2:D100,D100)=1,1,0))</f>
        <v/>
      </c>
    </row>
    <row r="101">
      <c r="A101" s="26" t="n"/>
      <c r="B101" s="27" t="n"/>
      <c r="C101" s="27" t="n"/>
      <c r="D101" s="28" t="n"/>
      <c r="E101" s="28" t="n"/>
      <c r="F101" s="29" t="n"/>
      <c r="G101" s="30" t="n"/>
      <c r="H101" s="20">
        <f>IF(A101="","",TRIM(IF(WEEKDAY(A101,2)&gt;5,"Fin de semana. ","")&amp;IF(SUMIFS($G$2:$G$601,$A$2:$A$601,A101,$D$2:$D$601,D101)&gt;9,"Más de 9 h en el día. ","")&amp;IF(AND(B101&lt;&gt;"",C101&lt;&gt;"",C101&lt;B101),"Cruza la medianoche. ","")&amp;IF(LEN(TRIM(F101))&lt;15,"Sin descripción suficiente. ","")&amp;IF(AND(ISERROR(SEARCH("R-0",F101)),ISERROR(SEARCH("CU-",F101))),"Sin ticket. ","")&amp;IF(ISNA(MATCH(E101,Datos!$E$8:$E$22,0)),"Proyecto sin valor hora. ","")&amp;IF(ISNA(MATCH(D101,Datos!$A$8:$A$22,0)),"Persona fuera del equipo. ","")))</f>
        <v/>
      </c>
      <c r="I101" s="21" t="n"/>
      <c r="J101" s="22" t="n"/>
      <c r="K101" s="23">
        <f>IF(G101="","",IF(J101&lt;&gt;"",MIN(J101,G101),IF(OR(I101="Observada",I101="Rechazada"),0,G101)))</f>
        <v/>
      </c>
      <c r="L101" s="24" t="n"/>
      <c r="M101" s="25">
        <f>IF(OR(A101="",D101=""),0,IF(COUNTIFS($A$2:A101,A101,$D$2:D101,D101)=1,1,0))</f>
        <v/>
      </c>
    </row>
    <row r="102">
      <c r="A102" s="26" t="n"/>
      <c r="B102" s="27" t="n"/>
      <c r="C102" s="27" t="n"/>
      <c r="D102" s="28" t="n"/>
      <c r="E102" s="28" t="n"/>
      <c r="F102" s="29" t="n"/>
      <c r="G102" s="30" t="n"/>
      <c r="H102" s="20">
        <f>IF(A102="","",TRIM(IF(WEEKDAY(A102,2)&gt;5,"Fin de semana. ","")&amp;IF(SUMIFS($G$2:$G$601,$A$2:$A$601,A102,$D$2:$D$601,D102)&gt;9,"Más de 9 h en el día. ","")&amp;IF(AND(B102&lt;&gt;"",C102&lt;&gt;"",C102&lt;B102),"Cruza la medianoche. ","")&amp;IF(LEN(TRIM(F102))&lt;15,"Sin descripción suficiente. ","")&amp;IF(AND(ISERROR(SEARCH("R-0",F102)),ISERROR(SEARCH("CU-",F102))),"Sin ticket. ","")&amp;IF(ISNA(MATCH(E102,Datos!$E$8:$E$22,0)),"Proyecto sin valor hora. ","")&amp;IF(ISNA(MATCH(D102,Datos!$A$8:$A$22,0)),"Persona fuera del equipo. ","")))</f>
        <v/>
      </c>
      <c r="I102" s="21" t="n"/>
      <c r="J102" s="22" t="n"/>
      <c r="K102" s="23">
        <f>IF(G102="","",IF(J102&lt;&gt;"",MIN(J102,G102),IF(OR(I102="Observada",I102="Rechazada"),0,G102)))</f>
        <v/>
      </c>
      <c r="L102" s="24" t="n"/>
      <c r="M102" s="25">
        <f>IF(OR(A102="",D102=""),0,IF(COUNTIFS($A$2:A102,A102,$D$2:D102,D102)=1,1,0))</f>
        <v/>
      </c>
    </row>
    <row r="103">
      <c r="A103" s="26" t="n"/>
      <c r="B103" s="27" t="n"/>
      <c r="C103" s="27" t="n"/>
      <c r="D103" s="28" t="n"/>
      <c r="E103" s="28" t="n"/>
      <c r="F103" s="29" t="n"/>
      <c r="G103" s="30" t="n"/>
      <c r="H103" s="20">
        <f>IF(A103="","",TRIM(IF(WEEKDAY(A103,2)&gt;5,"Fin de semana. ","")&amp;IF(SUMIFS($G$2:$G$601,$A$2:$A$601,A103,$D$2:$D$601,D103)&gt;9,"Más de 9 h en el día. ","")&amp;IF(AND(B103&lt;&gt;"",C103&lt;&gt;"",C103&lt;B103),"Cruza la medianoche. ","")&amp;IF(LEN(TRIM(F103))&lt;15,"Sin descripción suficiente. ","")&amp;IF(AND(ISERROR(SEARCH("R-0",F103)),ISERROR(SEARCH("CU-",F103))),"Sin ticket. ","")&amp;IF(ISNA(MATCH(E103,Datos!$E$8:$E$22,0)),"Proyecto sin valor hora. ","")&amp;IF(ISNA(MATCH(D103,Datos!$A$8:$A$22,0)),"Persona fuera del equipo. ","")))</f>
        <v/>
      </c>
      <c r="I103" s="21" t="n"/>
      <c r="J103" s="22" t="n"/>
      <c r="K103" s="23">
        <f>IF(G103="","",IF(J103&lt;&gt;"",MIN(J103,G103),IF(OR(I103="Observada",I103="Rechazada"),0,G103)))</f>
        <v/>
      </c>
      <c r="L103" s="24" t="n"/>
      <c r="M103" s="25">
        <f>IF(OR(A103="",D103=""),0,IF(COUNTIFS($A$2:A103,A103,$D$2:D103,D103)=1,1,0))</f>
        <v/>
      </c>
    </row>
    <row r="104">
      <c r="A104" s="26" t="n"/>
      <c r="B104" s="27" t="n"/>
      <c r="C104" s="27" t="n"/>
      <c r="D104" s="28" t="n"/>
      <c r="E104" s="28" t="n"/>
      <c r="F104" s="29" t="n"/>
      <c r="G104" s="30" t="n"/>
      <c r="H104" s="20">
        <f>IF(A104="","",TRIM(IF(WEEKDAY(A104,2)&gt;5,"Fin de semana. ","")&amp;IF(SUMIFS($G$2:$G$601,$A$2:$A$601,A104,$D$2:$D$601,D104)&gt;9,"Más de 9 h en el día. ","")&amp;IF(AND(B104&lt;&gt;"",C104&lt;&gt;"",C104&lt;B104),"Cruza la medianoche. ","")&amp;IF(LEN(TRIM(F104))&lt;15,"Sin descripción suficiente. ","")&amp;IF(AND(ISERROR(SEARCH("R-0",F104)),ISERROR(SEARCH("CU-",F104))),"Sin ticket. ","")&amp;IF(ISNA(MATCH(E104,Datos!$E$8:$E$22,0)),"Proyecto sin valor hora. ","")&amp;IF(ISNA(MATCH(D104,Datos!$A$8:$A$22,0)),"Persona fuera del equipo. ","")))</f>
        <v/>
      </c>
      <c r="I104" s="21" t="n"/>
      <c r="J104" s="22" t="n"/>
      <c r="K104" s="23">
        <f>IF(G104="","",IF(J104&lt;&gt;"",MIN(J104,G104),IF(OR(I104="Observada",I104="Rechazada"),0,G104)))</f>
        <v/>
      </c>
      <c r="L104" s="24" t="n"/>
      <c r="M104" s="25">
        <f>IF(OR(A104="",D104=""),0,IF(COUNTIFS($A$2:A104,A104,$D$2:D104,D104)=1,1,0))</f>
        <v/>
      </c>
    </row>
    <row r="105">
      <c r="A105" s="26" t="n"/>
      <c r="B105" s="27" t="n"/>
      <c r="C105" s="27" t="n"/>
      <c r="D105" s="28" t="n"/>
      <c r="E105" s="28" t="n"/>
      <c r="F105" s="29" t="n"/>
      <c r="G105" s="30" t="n"/>
      <c r="H105" s="20">
        <f>IF(A105="","",TRIM(IF(WEEKDAY(A105,2)&gt;5,"Fin de semana. ","")&amp;IF(SUMIFS($G$2:$G$601,$A$2:$A$601,A105,$D$2:$D$601,D105)&gt;9,"Más de 9 h en el día. ","")&amp;IF(AND(B105&lt;&gt;"",C105&lt;&gt;"",C105&lt;B105),"Cruza la medianoche. ","")&amp;IF(LEN(TRIM(F105))&lt;15,"Sin descripción suficiente. ","")&amp;IF(AND(ISERROR(SEARCH("R-0",F105)),ISERROR(SEARCH("CU-",F105))),"Sin ticket. ","")&amp;IF(ISNA(MATCH(E105,Datos!$E$8:$E$22,0)),"Proyecto sin valor hora. ","")&amp;IF(ISNA(MATCH(D105,Datos!$A$8:$A$22,0)),"Persona fuera del equipo. ","")))</f>
        <v/>
      </c>
      <c r="I105" s="21" t="n"/>
      <c r="J105" s="22" t="n"/>
      <c r="K105" s="23">
        <f>IF(G105="","",IF(J105&lt;&gt;"",MIN(J105,G105),IF(OR(I105="Observada",I105="Rechazada"),0,G105)))</f>
        <v/>
      </c>
      <c r="L105" s="24" t="n"/>
      <c r="M105" s="25">
        <f>IF(OR(A105="",D105=""),0,IF(COUNTIFS($A$2:A105,A105,$D$2:D105,D105)=1,1,0))</f>
        <v/>
      </c>
    </row>
    <row r="106">
      <c r="A106" s="26" t="n"/>
      <c r="B106" s="27" t="n"/>
      <c r="C106" s="27" t="n"/>
      <c r="D106" s="28" t="n"/>
      <c r="E106" s="28" t="n"/>
      <c r="F106" s="29" t="n"/>
      <c r="G106" s="30" t="n"/>
      <c r="H106" s="20">
        <f>IF(A106="","",TRIM(IF(WEEKDAY(A106,2)&gt;5,"Fin de semana. ","")&amp;IF(SUMIFS($G$2:$G$601,$A$2:$A$601,A106,$D$2:$D$601,D106)&gt;9,"Más de 9 h en el día. ","")&amp;IF(AND(B106&lt;&gt;"",C106&lt;&gt;"",C106&lt;B106),"Cruza la medianoche. ","")&amp;IF(LEN(TRIM(F106))&lt;15,"Sin descripción suficiente. ","")&amp;IF(AND(ISERROR(SEARCH("R-0",F106)),ISERROR(SEARCH("CU-",F106))),"Sin ticket. ","")&amp;IF(ISNA(MATCH(E106,Datos!$E$8:$E$22,0)),"Proyecto sin valor hora. ","")&amp;IF(ISNA(MATCH(D106,Datos!$A$8:$A$22,0)),"Persona fuera del equipo. ","")))</f>
        <v/>
      </c>
      <c r="I106" s="21" t="n"/>
      <c r="J106" s="22" t="n"/>
      <c r="K106" s="23">
        <f>IF(G106="","",IF(J106&lt;&gt;"",MIN(J106,G106),IF(OR(I106="Observada",I106="Rechazada"),0,G106)))</f>
        <v/>
      </c>
      <c r="L106" s="24" t="n"/>
      <c r="M106" s="25">
        <f>IF(OR(A106="",D106=""),0,IF(COUNTIFS($A$2:A106,A106,$D$2:D106,D106)=1,1,0))</f>
        <v/>
      </c>
    </row>
    <row r="107">
      <c r="A107" s="26" t="n"/>
      <c r="B107" s="27" t="n"/>
      <c r="C107" s="27" t="n"/>
      <c r="D107" s="28" t="n"/>
      <c r="E107" s="28" t="n"/>
      <c r="F107" s="29" t="n"/>
      <c r="G107" s="30" t="n"/>
      <c r="H107" s="20">
        <f>IF(A107="","",TRIM(IF(WEEKDAY(A107,2)&gt;5,"Fin de semana. ","")&amp;IF(SUMIFS($G$2:$G$601,$A$2:$A$601,A107,$D$2:$D$601,D107)&gt;9,"Más de 9 h en el día. ","")&amp;IF(AND(B107&lt;&gt;"",C107&lt;&gt;"",C107&lt;B107),"Cruza la medianoche. ","")&amp;IF(LEN(TRIM(F107))&lt;15,"Sin descripción suficiente. ","")&amp;IF(AND(ISERROR(SEARCH("R-0",F107)),ISERROR(SEARCH("CU-",F107))),"Sin ticket. ","")&amp;IF(ISNA(MATCH(E107,Datos!$E$8:$E$22,0)),"Proyecto sin valor hora. ","")&amp;IF(ISNA(MATCH(D107,Datos!$A$8:$A$22,0)),"Persona fuera del equipo. ","")))</f>
        <v/>
      </c>
      <c r="I107" s="21" t="n"/>
      <c r="J107" s="22" t="n"/>
      <c r="K107" s="23">
        <f>IF(G107="","",IF(J107&lt;&gt;"",MIN(J107,G107),IF(OR(I107="Observada",I107="Rechazada"),0,G107)))</f>
        <v/>
      </c>
      <c r="L107" s="24" t="n"/>
      <c r="M107" s="25">
        <f>IF(OR(A107="",D107=""),0,IF(COUNTIFS($A$2:A107,A107,$D$2:D107,D107)=1,1,0))</f>
        <v/>
      </c>
    </row>
    <row r="108">
      <c r="A108" s="26" t="n"/>
      <c r="B108" s="27" t="n"/>
      <c r="C108" s="27" t="n"/>
      <c r="D108" s="28" t="n"/>
      <c r="E108" s="28" t="n"/>
      <c r="F108" s="29" t="n"/>
      <c r="G108" s="30" t="n"/>
      <c r="H108" s="20">
        <f>IF(A108="","",TRIM(IF(WEEKDAY(A108,2)&gt;5,"Fin de semana. ","")&amp;IF(SUMIFS($G$2:$G$601,$A$2:$A$601,A108,$D$2:$D$601,D108)&gt;9,"Más de 9 h en el día. ","")&amp;IF(AND(B108&lt;&gt;"",C108&lt;&gt;"",C108&lt;B108),"Cruza la medianoche. ","")&amp;IF(LEN(TRIM(F108))&lt;15,"Sin descripción suficiente. ","")&amp;IF(AND(ISERROR(SEARCH("R-0",F108)),ISERROR(SEARCH("CU-",F108))),"Sin ticket. ","")&amp;IF(ISNA(MATCH(E108,Datos!$E$8:$E$22,0)),"Proyecto sin valor hora. ","")&amp;IF(ISNA(MATCH(D108,Datos!$A$8:$A$22,0)),"Persona fuera del equipo. ","")))</f>
        <v/>
      </c>
      <c r="I108" s="21" t="n"/>
      <c r="J108" s="22" t="n"/>
      <c r="K108" s="23">
        <f>IF(G108="","",IF(J108&lt;&gt;"",MIN(J108,G108),IF(OR(I108="Observada",I108="Rechazada"),0,G108)))</f>
        <v/>
      </c>
      <c r="L108" s="24" t="n"/>
      <c r="M108" s="25">
        <f>IF(OR(A108="",D108=""),0,IF(COUNTIFS($A$2:A108,A108,$D$2:D108,D108)=1,1,0))</f>
        <v/>
      </c>
    </row>
    <row r="109">
      <c r="A109" s="26" t="n"/>
      <c r="B109" s="27" t="n"/>
      <c r="C109" s="27" t="n"/>
      <c r="D109" s="28" t="n"/>
      <c r="E109" s="28" t="n"/>
      <c r="F109" s="29" t="n"/>
      <c r="G109" s="30" t="n"/>
      <c r="H109" s="20">
        <f>IF(A109="","",TRIM(IF(WEEKDAY(A109,2)&gt;5,"Fin de semana. ","")&amp;IF(SUMIFS($G$2:$G$601,$A$2:$A$601,A109,$D$2:$D$601,D109)&gt;9,"Más de 9 h en el día. ","")&amp;IF(AND(B109&lt;&gt;"",C109&lt;&gt;"",C109&lt;B109),"Cruza la medianoche. ","")&amp;IF(LEN(TRIM(F109))&lt;15,"Sin descripción suficiente. ","")&amp;IF(AND(ISERROR(SEARCH("R-0",F109)),ISERROR(SEARCH("CU-",F109))),"Sin ticket. ","")&amp;IF(ISNA(MATCH(E109,Datos!$E$8:$E$22,0)),"Proyecto sin valor hora. ","")&amp;IF(ISNA(MATCH(D109,Datos!$A$8:$A$22,0)),"Persona fuera del equipo. ","")))</f>
        <v/>
      </c>
      <c r="I109" s="21" t="n"/>
      <c r="J109" s="22" t="n"/>
      <c r="K109" s="23">
        <f>IF(G109="","",IF(J109&lt;&gt;"",MIN(J109,G109),IF(OR(I109="Observada",I109="Rechazada"),0,G109)))</f>
        <v/>
      </c>
      <c r="L109" s="24" t="n"/>
      <c r="M109" s="25">
        <f>IF(OR(A109="",D109=""),0,IF(COUNTIFS($A$2:A109,A109,$D$2:D109,D109)=1,1,0))</f>
        <v/>
      </c>
    </row>
    <row r="110">
      <c r="A110" s="26" t="n"/>
      <c r="B110" s="27" t="n"/>
      <c r="C110" s="27" t="n"/>
      <c r="D110" s="28" t="n"/>
      <c r="E110" s="28" t="n"/>
      <c r="F110" s="29" t="n"/>
      <c r="G110" s="30" t="n"/>
      <c r="H110" s="20">
        <f>IF(A110="","",TRIM(IF(WEEKDAY(A110,2)&gt;5,"Fin de semana. ","")&amp;IF(SUMIFS($G$2:$G$601,$A$2:$A$601,A110,$D$2:$D$601,D110)&gt;9,"Más de 9 h en el día. ","")&amp;IF(AND(B110&lt;&gt;"",C110&lt;&gt;"",C110&lt;B110),"Cruza la medianoche. ","")&amp;IF(LEN(TRIM(F110))&lt;15,"Sin descripción suficiente. ","")&amp;IF(AND(ISERROR(SEARCH("R-0",F110)),ISERROR(SEARCH("CU-",F110))),"Sin ticket. ","")&amp;IF(ISNA(MATCH(E110,Datos!$E$8:$E$22,0)),"Proyecto sin valor hora. ","")&amp;IF(ISNA(MATCH(D110,Datos!$A$8:$A$22,0)),"Persona fuera del equipo. ","")))</f>
        <v/>
      </c>
      <c r="I110" s="21" t="n"/>
      <c r="J110" s="22" t="n"/>
      <c r="K110" s="23">
        <f>IF(G110="","",IF(J110&lt;&gt;"",MIN(J110,G110),IF(OR(I110="Observada",I110="Rechazada"),0,G110)))</f>
        <v/>
      </c>
      <c r="L110" s="24" t="n"/>
      <c r="M110" s="25">
        <f>IF(OR(A110="",D110=""),0,IF(COUNTIFS($A$2:A110,A110,$D$2:D110,D110)=1,1,0))</f>
        <v/>
      </c>
    </row>
    <row r="111">
      <c r="A111" s="26" t="n"/>
      <c r="B111" s="27" t="n"/>
      <c r="C111" s="27" t="n"/>
      <c r="D111" s="28" t="n"/>
      <c r="E111" s="28" t="n"/>
      <c r="F111" s="29" t="n"/>
      <c r="G111" s="30" t="n"/>
      <c r="H111" s="20">
        <f>IF(A111="","",TRIM(IF(WEEKDAY(A111,2)&gt;5,"Fin de semana. ","")&amp;IF(SUMIFS($G$2:$G$601,$A$2:$A$601,A111,$D$2:$D$601,D111)&gt;9,"Más de 9 h en el día. ","")&amp;IF(AND(B111&lt;&gt;"",C111&lt;&gt;"",C111&lt;B111),"Cruza la medianoche. ","")&amp;IF(LEN(TRIM(F111))&lt;15,"Sin descripción suficiente. ","")&amp;IF(AND(ISERROR(SEARCH("R-0",F111)),ISERROR(SEARCH("CU-",F111))),"Sin ticket. ","")&amp;IF(ISNA(MATCH(E111,Datos!$E$8:$E$22,0)),"Proyecto sin valor hora. ","")&amp;IF(ISNA(MATCH(D111,Datos!$A$8:$A$22,0)),"Persona fuera del equipo. ","")))</f>
        <v/>
      </c>
      <c r="I111" s="21" t="n"/>
      <c r="J111" s="22" t="n"/>
      <c r="K111" s="23">
        <f>IF(G111="","",IF(J111&lt;&gt;"",MIN(J111,G111),IF(OR(I111="Observada",I111="Rechazada"),0,G111)))</f>
        <v/>
      </c>
      <c r="L111" s="24" t="n"/>
      <c r="M111" s="25">
        <f>IF(OR(A111="",D111=""),0,IF(COUNTIFS($A$2:A111,A111,$D$2:D111,D111)=1,1,0))</f>
        <v/>
      </c>
    </row>
    <row r="112">
      <c r="A112" s="26" t="n"/>
      <c r="B112" s="27" t="n"/>
      <c r="C112" s="27" t="n"/>
      <c r="D112" s="28" t="n"/>
      <c r="E112" s="28" t="n"/>
      <c r="F112" s="29" t="n"/>
      <c r="G112" s="30" t="n"/>
      <c r="H112" s="20">
        <f>IF(A112="","",TRIM(IF(WEEKDAY(A112,2)&gt;5,"Fin de semana. ","")&amp;IF(SUMIFS($G$2:$G$601,$A$2:$A$601,A112,$D$2:$D$601,D112)&gt;9,"Más de 9 h en el día. ","")&amp;IF(AND(B112&lt;&gt;"",C112&lt;&gt;"",C112&lt;B112),"Cruza la medianoche. ","")&amp;IF(LEN(TRIM(F112))&lt;15,"Sin descripción suficiente. ","")&amp;IF(AND(ISERROR(SEARCH("R-0",F112)),ISERROR(SEARCH("CU-",F112))),"Sin ticket. ","")&amp;IF(ISNA(MATCH(E112,Datos!$E$8:$E$22,0)),"Proyecto sin valor hora. ","")&amp;IF(ISNA(MATCH(D112,Datos!$A$8:$A$22,0)),"Persona fuera del equipo. ","")))</f>
        <v/>
      </c>
      <c r="I112" s="21" t="n"/>
      <c r="J112" s="22" t="n"/>
      <c r="K112" s="23">
        <f>IF(G112="","",IF(J112&lt;&gt;"",MIN(J112,G112),IF(OR(I112="Observada",I112="Rechazada"),0,G112)))</f>
        <v/>
      </c>
      <c r="L112" s="24" t="n"/>
      <c r="M112" s="25">
        <f>IF(OR(A112="",D112=""),0,IF(COUNTIFS($A$2:A112,A112,$D$2:D112,D112)=1,1,0))</f>
        <v/>
      </c>
    </row>
    <row r="113">
      <c r="A113" s="26" t="n"/>
      <c r="B113" s="27" t="n"/>
      <c r="C113" s="27" t="n"/>
      <c r="D113" s="28" t="n"/>
      <c r="E113" s="28" t="n"/>
      <c r="F113" s="29" t="n"/>
      <c r="G113" s="30" t="n"/>
      <c r="H113" s="20">
        <f>IF(A113="","",TRIM(IF(WEEKDAY(A113,2)&gt;5,"Fin de semana. ","")&amp;IF(SUMIFS($G$2:$G$601,$A$2:$A$601,A113,$D$2:$D$601,D113)&gt;9,"Más de 9 h en el día. ","")&amp;IF(AND(B113&lt;&gt;"",C113&lt;&gt;"",C113&lt;B113),"Cruza la medianoche. ","")&amp;IF(LEN(TRIM(F113))&lt;15,"Sin descripción suficiente. ","")&amp;IF(AND(ISERROR(SEARCH("R-0",F113)),ISERROR(SEARCH("CU-",F113))),"Sin ticket. ","")&amp;IF(ISNA(MATCH(E113,Datos!$E$8:$E$22,0)),"Proyecto sin valor hora. ","")&amp;IF(ISNA(MATCH(D113,Datos!$A$8:$A$22,0)),"Persona fuera del equipo. ","")))</f>
        <v/>
      </c>
      <c r="I113" s="21" t="n"/>
      <c r="J113" s="22" t="n"/>
      <c r="K113" s="23">
        <f>IF(G113="","",IF(J113&lt;&gt;"",MIN(J113,G113),IF(OR(I113="Observada",I113="Rechazada"),0,G113)))</f>
        <v/>
      </c>
      <c r="L113" s="24" t="n"/>
      <c r="M113" s="25">
        <f>IF(OR(A113="",D113=""),0,IF(COUNTIFS($A$2:A113,A113,$D$2:D113,D113)=1,1,0))</f>
        <v/>
      </c>
    </row>
    <row r="114">
      <c r="A114" s="26" t="n"/>
      <c r="B114" s="27" t="n"/>
      <c r="C114" s="27" t="n"/>
      <c r="D114" s="28" t="n"/>
      <c r="E114" s="28" t="n"/>
      <c r="F114" s="29" t="n"/>
      <c r="G114" s="30" t="n"/>
      <c r="H114" s="20">
        <f>IF(A114="","",TRIM(IF(WEEKDAY(A114,2)&gt;5,"Fin de semana. ","")&amp;IF(SUMIFS($G$2:$G$601,$A$2:$A$601,A114,$D$2:$D$601,D114)&gt;9,"Más de 9 h en el día. ","")&amp;IF(AND(B114&lt;&gt;"",C114&lt;&gt;"",C114&lt;B114),"Cruza la medianoche. ","")&amp;IF(LEN(TRIM(F114))&lt;15,"Sin descripción suficiente. ","")&amp;IF(AND(ISERROR(SEARCH("R-0",F114)),ISERROR(SEARCH("CU-",F114))),"Sin ticket. ","")&amp;IF(ISNA(MATCH(E114,Datos!$E$8:$E$22,0)),"Proyecto sin valor hora. ","")&amp;IF(ISNA(MATCH(D114,Datos!$A$8:$A$22,0)),"Persona fuera del equipo. ","")))</f>
        <v/>
      </c>
      <c r="I114" s="21" t="n"/>
      <c r="J114" s="22" t="n"/>
      <c r="K114" s="23">
        <f>IF(G114="","",IF(J114&lt;&gt;"",MIN(J114,G114),IF(OR(I114="Observada",I114="Rechazada"),0,G114)))</f>
        <v/>
      </c>
      <c r="L114" s="24" t="n"/>
      <c r="M114" s="25">
        <f>IF(OR(A114="",D114=""),0,IF(COUNTIFS($A$2:A114,A114,$D$2:D114,D114)=1,1,0))</f>
        <v/>
      </c>
    </row>
    <row r="115">
      <c r="A115" s="26" t="n"/>
      <c r="B115" s="27" t="n"/>
      <c r="C115" s="27" t="n"/>
      <c r="D115" s="28" t="n"/>
      <c r="E115" s="28" t="n"/>
      <c r="F115" s="29" t="n"/>
      <c r="G115" s="30" t="n"/>
      <c r="H115" s="20">
        <f>IF(A115="","",TRIM(IF(WEEKDAY(A115,2)&gt;5,"Fin de semana. ","")&amp;IF(SUMIFS($G$2:$G$601,$A$2:$A$601,A115,$D$2:$D$601,D115)&gt;9,"Más de 9 h en el día. ","")&amp;IF(AND(B115&lt;&gt;"",C115&lt;&gt;"",C115&lt;B115),"Cruza la medianoche. ","")&amp;IF(LEN(TRIM(F115))&lt;15,"Sin descripción suficiente. ","")&amp;IF(AND(ISERROR(SEARCH("R-0",F115)),ISERROR(SEARCH("CU-",F115))),"Sin ticket. ","")&amp;IF(ISNA(MATCH(E115,Datos!$E$8:$E$22,0)),"Proyecto sin valor hora. ","")&amp;IF(ISNA(MATCH(D115,Datos!$A$8:$A$22,0)),"Persona fuera del equipo. ","")))</f>
        <v/>
      </c>
      <c r="I115" s="21" t="n"/>
      <c r="J115" s="22" t="n"/>
      <c r="K115" s="23">
        <f>IF(G115="","",IF(J115&lt;&gt;"",MIN(J115,G115),IF(OR(I115="Observada",I115="Rechazada"),0,G115)))</f>
        <v/>
      </c>
      <c r="L115" s="24" t="n"/>
      <c r="M115" s="25">
        <f>IF(OR(A115="",D115=""),0,IF(COUNTIFS($A$2:A115,A115,$D$2:D115,D115)=1,1,0))</f>
        <v/>
      </c>
    </row>
    <row r="116">
      <c r="A116" s="26" t="n"/>
      <c r="B116" s="27" t="n"/>
      <c r="C116" s="27" t="n"/>
      <c r="D116" s="28" t="n"/>
      <c r="E116" s="28" t="n"/>
      <c r="F116" s="29" t="n"/>
      <c r="G116" s="30" t="n"/>
      <c r="H116" s="20">
        <f>IF(A116="","",TRIM(IF(WEEKDAY(A116,2)&gt;5,"Fin de semana. ","")&amp;IF(SUMIFS($G$2:$G$601,$A$2:$A$601,A116,$D$2:$D$601,D116)&gt;9,"Más de 9 h en el día. ","")&amp;IF(AND(B116&lt;&gt;"",C116&lt;&gt;"",C116&lt;B116),"Cruza la medianoche. ","")&amp;IF(LEN(TRIM(F116))&lt;15,"Sin descripción suficiente. ","")&amp;IF(AND(ISERROR(SEARCH("R-0",F116)),ISERROR(SEARCH("CU-",F116))),"Sin ticket. ","")&amp;IF(ISNA(MATCH(E116,Datos!$E$8:$E$22,0)),"Proyecto sin valor hora. ","")&amp;IF(ISNA(MATCH(D116,Datos!$A$8:$A$22,0)),"Persona fuera del equipo. ","")))</f>
        <v/>
      </c>
      <c r="I116" s="21" t="n"/>
      <c r="J116" s="22" t="n"/>
      <c r="K116" s="23">
        <f>IF(G116="","",IF(J116&lt;&gt;"",MIN(J116,G116),IF(OR(I116="Observada",I116="Rechazada"),0,G116)))</f>
        <v/>
      </c>
      <c r="L116" s="24" t="n"/>
      <c r="M116" s="25">
        <f>IF(OR(A116="",D116=""),0,IF(COUNTIFS($A$2:A116,A116,$D$2:D116,D116)=1,1,0))</f>
        <v/>
      </c>
    </row>
    <row r="117">
      <c r="A117" s="26" t="n"/>
      <c r="B117" s="27" t="n"/>
      <c r="C117" s="27" t="n"/>
      <c r="D117" s="28" t="n"/>
      <c r="E117" s="28" t="n"/>
      <c r="F117" s="29" t="n"/>
      <c r="G117" s="30" t="n"/>
      <c r="H117" s="20">
        <f>IF(A117="","",TRIM(IF(WEEKDAY(A117,2)&gt;5,"Fin de semana. ","")&amp;IF(SUMIFS($G$2:$G$601,$A$2:$A$601,A117,$D$2:$D$601,D117)&gt;9,"Más de 9 h en el día. ","")&amp;IF(AND(B117&lt;&gt;"",C117&lt;&gt;"",C117&lt;B117),"Cruza la medianoche. ","")&amp;IF(LEN(TRIM(F117))&lt;15,"Sin descripción suficiente. ","")&amp;IF(AND(ISERROR(SEARCH("R-0",F117)),ISERROR(SEARCH("CU-",F117))),"Sin ticket. ","")&amp;IF(ISNA(MATCH(E117,Datos!$E$8:$E$22,0)),"Proyecto sin valor hora. ","")&amp;IF(ISNA(MATCH(D117,Datos!$A$8:$A$22,0)),"Persona fuera del equipo. ","")))</f>
        <v/>
      </c>
      <c r="I117" s="21" t="n"/>
      <c r="J117" s="22" t="n"/>
      <c r="K117" s="23">
        <f>IF(G117="","",IF(J117&lt;&gt;"",MIN(J117,G117),IF(OR(I117="Observada",I117="Rechazada"),0,G117)))</f>
        <v/>
      </c>
      <c r="L117" s="24" t="n"/>
      <c r="M117" s="25">
        <f>IF(OR(A117="",D117=""),0,IF(COUNTIFS($A$2:A117,A117,$D$2:D117,D117)=1,1,0))</f>
        <v/>
      </c>
    </row>
    <row r="118">
      <c r="A118" s="26" t="n"/>
      <c r="B118" s="27" t="n"/>
      <c r="C118" s="27" t="n"/>
      <c r="D118" s="28" t="n"/>
      <c r="E118" s="28" t="n"/>
      <c r="F118" s="29" t="n"/>
      <c r="G118" s="30" t="n"/>
      <c r="H118" s="20">
        <f>IF(A118="","",TRIM(IF(WEEKDAY(A118,2)&gt;5,"Fin de semana. ","")&amp;IF(SUMIFS($G$2:$G$601,$A$2:$A$601,A118,$D$2:$D$601,D118)&gt;9,"Más de 9 h en el día. ","")&amp;IF(AND(B118&lt;&gt;"",C118&lt;&gt;"",C118&lt;B118),"Cruza la medianoche. ","")&amp;IF(LEN(TRIM(F118))&lt;15,"Sin descripción suficiente. ","")&amp;IF(AND(ISERROR(SEARCH("R-0",F118)),ISERROR(SEARCH("CU-",F118))),"Sin ticket. ","")&amp;IF(ISNA(MATCH(E118,Datos!$E$8:$E$22,0)),"Proyecto sin valor hora. ","")&amp;IF(ISNA(MATCH(D118,Datos!$A$8:$A$22,0)),"Persona fuera del equipo. ","")))</f>
        <v/>
      </c>
      <c r="I118" s="21" t="n"/>
      <c r="J118" s="22" t="n"/>
      <c r="K118" s="23">
        <f>IF(G118="","",IF(J118&lt;&gt;"",MIN(J118,G118),IF(OR(I118="Observada",I118="Rechazada"),0,G118)))</f>
        <v/>
      </c>
      <c r="L118" s="24" t="n"/>
      <c r="M118" s="25">
        <f>IF(OR(A118="",D118=""),0,IF(COUNTIFS($A$2:A118,A118,$D$2:D118,D118)=1,1,0))</f>
        <v/>
      </c>
    </row>
    <row r="119">
      <c r="A119" s="26" t="n"/>
      <c r="B119" s="27" t="n"/>
      <c r="C119" s="27" t="n"/>
      <c r="D119" s="28" t="n"/>
      <c r="E119" s="28" t="n"/>
      <c r="F119" s="29" t="n"/>
      <c r="G119" s="30" t="n"/>
      <c r="H119" s="20">
        <f>IF(A119="","",TRIM(IF(WEEKDAY(A119,2)&gt;5,"Fin de semana. ","")&amp;IF(SUMIFS($G$2:$G$601,$A$2:$A$601,A119,$D$2:$D$601,D119)&gt;9,"Más de 9 h en el día. ","")&amp;IF(AND(B119&lt;&gt;"",C119&lt;&gt;"",C119&lt;B119),"Cruza la medianoche. ","")&amp;IF(LEN(TRIM(F119))&lt;15,"Sin descripción suficiente. ","")&amp;IF(AND(ISERROR(SEARCH("R-0",F119)),ISERROR(SEARCH("CU-",F119))),"Sin ticket. ","")&amp;IF(ISNA(MATCH(E119,Datos!$E$8:$E$22,0)),"Proyecto sin valor hora. ","")&amp;IF(ISNA(MATCH(D119,Datos!$A$8:$A$22,0)),"Persona fuera del equipo. ","")))</f>
        <v/>
      </c>
      <c r="I119" s="21" t="n"/>
      <c r="J119" s="22" t="n"/>
      <c r="K119" s="23">
        <f>IF(G119="","",IF(J119&lt;&gt;"",MIN(J119,G119),IF(OR(I119="Observada",I119="Rechazada"),0,G119)))</f>
        <v/>
      </c>
      <c r="L119" s="24" t="n"/>
      <c r="M119" s="25">
        <f>IF(OR(A119="",D119=""),0,IF(COUNTIFS($A$2:A119,A119,$D$2:D119,D119)=1,1,0))</f>
        <v/>
      </c>
    </row>
    <row r="120">
      <c r="A120" s="26" t="n"/>
      <c r="B120" s="27" t="n"/>
      <c r="C120" s="27" t="n"/>
      <c r="D120" s="28" t="n"/>
      <c r="E120" s="28" t="n"/>
      <c r="F120" s="29" t="n"/>
      <c r="G120" s="30" t="n"/>
      <c r="H120" s="20">
        <f>IF(A120="","",TRIM(IF(WEEKDAY(A120,2)&gt;5,"Fin de semana. ","")&amp;IF(SUMIFS($G$2:$G$601,$A$2:$A$601,A120,$D$2:$D$601,D120)&gt;9,"Más de 9 h en el día. ","")&amp;IF(AND(B120&lt;&gt;"",C120&lt;&gt;"",C120&lt;B120),"Cruza la medianoche. ","")&amp;IF(LEN(TRIM(F120))&lt;15,"Sin descripción suficiente. ","")&amp;IF(AND(ISERROR(SEARCH("R-0",F120)),ISERROR(SEARCH("CU-",F120))),"Sin ticket. ","")&amp;IF(ISNA(MATCH(E120,Datos!$E$8:$E$22,0)),"Proyecto sin valor hora. ","")&amp;IF(ISNA(MATCH(D120,Datos!$A$8:$A$22,0)),"Persona fuera del equipo. ","")))</f>
        <v/>
      </c>
      <c r="I120" s="21" t="n"/>
      <c r="J120" s="22" t="n"/>
      <c r="K120" s="23">
        <f>IF(G120="","",IF(J120&lt;&gt;"",MIN(J120,G120),IF(OR(I120="Observada",I120="Rechazada"),0,G120)))</f>
        <v/>
      </c>
      <c r="L120" s="24" t="n"/>
      <c r="M120" s="25">
        <f>IF(OR(A120="",D120=""),0,IF(COUNTIFS($A$2:A120,A120,$D$2:D120,D120)=1,1,0))</f>
        <v/>
      </c>
    </row>
    <row r="121">
      <c r="A121" s="26" t="n"/>
      <c r="B121" s="27" t="n"/>
      <c r="C121" s="27" t="n"/>
      <c r="D121" s="28" t="n"/>
      <c r="E121" s="28" t="n"/>
      <c r="F121" s="29" t="n"/>
      <c r="G121" s="30" t="n"/>
      <c r="H121" s="20">
        <f>IF(A121="","",TRIM(IF(WEEKDAY(A121,2)&gt;5,"Fin de semana. ","")&amp;IF(SUMIFS($G$2:$G$601,$A$2:$A$601,A121,$D$2:$D$601,D121)&gt;9,"Más de 9 h en el día. ","")&amp;IF(AND(B121&lt;&gt;"",C121&lt;&gt;"",C121&lt;B121),"Cruza la medianoche. ","")&amp;IF(LEN(TRIM(F121))&lt;15,"Sin descripción suficiente. ","")&amp;IF(AND(ISERROR(SEARCH("R-0",F121)),ISERROR(SEARCH("CU-",F121))),"Sin ticket. ","")&amp;IF(ISNA(MATCH(E121,Datos!$E$8:$E$22,0)),"Proyecto sin valor hora. ","")&amp;IF(ISNA(MATCH(D121,Datos!$A$8:$A$22,0)),"Persona fuera del equipo. ","")))</f>
        <v/>
      </c>
      <c r="I121" s="21" t="n"/>
      <c r="J121" s="22" t="n"/>
      <c r="K121" s="23">
        <f>IF(G121="","",IF(J121&lt;&gt;"",MIN(J121,G121),IF(OR(I121="Observada",I121="Rechazada"),0,G121)))</f>
        <v/>
      </c>
      <c r="L121" s="24" t="n"/>
      <c r="M121" s="25">
        <f>IF(OR(A121="",D121=""),0,IF(COUNTIFS($A$2:A121,A121,$D$2:D121,D121)=1,1,0))</f>
        <v/>
      </c>
    </row>
    <row r="122">
      <c r="A122" s="26" t="n"/>
      <c r="B122" s="27" t="n"/>
      <c r="C122" s="27" t="n"/>
      <c r="D122" s="28" t="n"/>
      <c r="E122" s="28" t="n"/>
      <c r="F122" s="29" t="n"/>
      <c r="G122" s="30" t="n"/>
      <c r="H122" s="20">
        <f>IF(A122="","",TRIM(IF(WEEKDAY(A122,2)&gt;5,"Fin de semana. ","")&amp;IF(SUMIFS($G$2:$G$601,$A$2:$A$601,A122,$D$2:$D$601,D122)&gt;9,"Más de 9 h en el día. ","")&amp;IF(AND(B122&lt;&gt;"",C122&lt;&gt;"",C122&lt;B122),"Cruza la medianoche. ","")&amp;IF(LEN(TRIM(F122))&lt;15,"Sin descripción suficiente. ","")&amp;IF(AND(ISERROR(SEARCH("R-0",F122)),ISERROR(SEARCH("CU-",F122))),"Sin ticket. ","")&amp;IF(ISNA(MATCH(E122,Datos!$E$8:$E$22,0)),"Proyecto sin valor hora. ","")&amp;IF(ISNA(MATCH(D122,Datos!$A$8:$A$22,0)),"Persona fuera del equipo. ","")))</f>
        <v/>
      </c>
      <c r="I122" s="21" t="n"/>
      <c r="J122" s="22" t="n"/>
      <c r="K122" s="23">
        <f>IF(G122="","",IF(J122&lt;&gt;"",MIN(J122,G122),IF(OR(I122="Observada",I122="Rechazada"),0,G122)))</f>
        <v/>
      </c>
      <c r="L122" s="24" t="n"/>
      <c r="M122" s="25">
        <f>IF(OR(A122="",D122=""),0,IF(COUNTIFS($A$2:A122,A122,$D$2:D122,D122)=1,1,0))</f>
        <v/>
      </c>
    </row>
    <row r="123">
      <c r="A123" s="26" t="n"/>
      <c r="B123" s="27" t="n"/>
      <c r="C123" s="27" t="n"/>
      <c r="D123" s="28" t="n"/>
      <c r="E123" s="28" t="n"/>
      <c r="F123" s="29" t="n"/>
      <c r="G123" s="30" t="n"/>
      <c r="H123" s="20">
        <f>IF(A123="","",TRIM(IF(WEEKDAY(A123,2)&gt;5,"Fin de semana. ","")&amp;IF(SUMIFS($G$2:$G$601,$A$2:$A$601,A123,$D$2:$D$601,D123)&gt;9,"Más de 9 h en el día. ","")&amp;IF(AND(B123&lt;&gt;"",C123&lt;&gt;"",C123&lt;B123),"Cruza la medianoche. ","")&amp;IF(LEN(TRIM(F123))&lt;15,"Sin descripción suficiente. ","")&amp;IF(AND(ISERROR(SEARCH("R-0",F123)),ISERROR(SEARCH("CU-",F123))),"Sin ticket. ","")&amp;IF(ISNA(MATCH(E123,Datos!$E$8:$E$22,0)),"Proyecto sin valor hora. ","")&amp;IF(ISNA(MATCH(D123,Datos!$A$8:$A$22,0)),"Persona fuera del equipo. ","")))</f>
        <v/>
      </c>
      <c r="I123" s="21" t="n"/>
      <c r="J123" s="22" t="n"/>
      <c r="K123" s="23">
        <f>IF(G123="","",IF(J123&lt;&gt;"",MIN(J123,G123),IF(OR(I123="Observada",I123="Rechazada"),0,G123)))</f>
        <v/>
      </c>
      <c r="L123" s="24" t="n"/>
      <c r="M123" s="25">
        <f>IF(OR(A123="",D123=""),0,IF(COUNTIFS($A$2:A123,A123,$D$2:D123,D123)=1,1,0))</f>
        <v/>
      </c>
    </row>
    <row r="124">
      <c r="A124" s="26" t="n"/>
      <c r="B124" s="27" t="n"/>
      <c r="C124" s="27" t="n"/>
      <c r="D124" s="28" t="n"/>
      <c r="E124" s="28" t="n"/>
      <c r="F124" s="29" t="n"/>
      <c r="G124" s="30" t="n"/>
      <c r="H124" s="20">
        <f>IF(A124="","",TRIM(IF(WEEKDAY(A124,2)&gt;5,"Fin de semana. ","")&amp;IF(SUMIFS($G$2:$G$601,$A$2:$A$601,A124,$D$2:$D$601,D124)&gt;9,"Más de 9 h en el día. ","")&amp;IF(AND(B124&lt;&gt;"",C124&lt;&gt;"",C124&lt;B124),"Cruza la medianoche. ","")&amp;IF(LEN(TRIM(F124))&lt;15,"Sin descripción suficiente. ","")&amp;IF(AND(ISERROR(SEARCH("R-0",F124)),ISERROR(SEARCH("CU-",F124))),"Sin ticket. ","")&amp;IF(ISNA(MATCH(E124,Datos!$E$8:$E$22,0)),"Proyecto sin valor hora. ","")&amp;IF(ISNA(MATCH(D124,Datos!$A$8:$A$22,0)),"Persona fuera del equipo. ","")))</f>
        <v/>
      </c>
      <c r="I124" s="21" t="n"/>
      <c r="J124" s="22" t="n"/>
      <c r="K124" s="23">
        <f>IF(G124="","",IF(J124&lt;&gt;"",MIN(J124,G124),IF(OR(I124="Observada",I124="Rechazada"),0,G124)))</f>
        <v/>
      </c>
      <c r="L124" s="24" t="n"/>
      <c r="M124" s="25">
        <f>IF(OR(A124="",D124=""),0,IF(COUNTIFS($A$2:A124,A124,$D$2:D124,D124)=1,1,0))</f>
        <v/>
      </c>
    </row>
    <row r="125">
      <c r="A125" s="26" t="n"/>
      <c r="B125" s="27" t="n"/>
      <c r="C125" s="27" t="n"/>
      <c r="D125" s="28" t="n"/>
      <c r="E125" s="28" t="n"/>
      <c r="F125" s="29" t="n"/>
      <c r="G125" s="30" t="n"/>
      <c r="H125" s="20">
        <f>IF(A125="","",TRIM(IF(WEEKDAY(A125,2)&gt;5,"Fin de semana. ","")&amp;IF(SUMIFS($G$2:$G$601,$A$2:$A$601,A125,$D$2:$D$601,D125)&gt;9,"Más de 9 h en el día. ","")&amp;IF(AND(B125&lt;&gt;"",C125&lt;&gt;"",C125&lt;B125),"Cruza la medianoche. ","")&amp;IF(LEN(TRIM(F125))&lt;15,"Sin descripción suficiente. ","")&amp;IF(AND(ISERROR(SEARCH("R-0",F125)),ISERROR(SEARCH("CU-",F125))),"Sin ticket. ","")&amp;IF(ISNA(MATCH(E125,Datos!$E$8:$E$22,0)),"Proyecto sin valor hora. ","")&amp;IF(ISNA(MATCH(D125,Datos!$A$8:$A$22,0)),"Persona fuera del equipo. ","")))</f>
        <v/>
      </c>
      <c r="I125" s="21" t="n"/>
      <c r="J125" s="22" t="n"/>
      <c r="K125" s="23">
        <f>IF(G125="","",IF(J125&lt;&gt;"",MIN(J125,G125),IF(OR(I125="Observada",I125="Rechazada"),0,G125)))</f>
        <v/>
      </c>
      <c r="L125" s="24" t="n"/>
      <c r="M125" s="25">
        <f>IF(OR(A125="",D125=""),0,IF(COUNTIFS($A$2:A125,A125,$D$2:D125,D125)=1,1,0))</f>
        <v/>
      </c>
    </row>
    <row r="126">
      <c r="A126" s="26" t="n"/>
      <c r="B126" s="27" t="n"/>
      <c r="C126" s="27" t="n"/>
      <c r="D126" s="28" t="n"/>
      <c r="E126" s="28" t="n"/>
      <c r="F126" s="29" t="n"/>
      <c r="G126" s="30" t="n"/>
      <c r="H126" s="20">
        <f>IF(A126="","",TRIM(IF(WEEKDAY(A126,2)&gt;5,"Fin de semana. ","")&amp;IF(SUMIFS($G$2:$G$601,$A$2:$A$601,A126,$D$2:$D$601,D126)&gt;9,"Más de 9 h en el día. ","")&amp;IF(AND(B126&lt;&gt;"",C126&lt;&gt;"",C126&lt;B126),"Cruza la medianoche. ","")&amp;IF(LEN(TRIM(F126))&lt;15,"Sin descripción suficiente. ","")&amp;IF(AND(ISERROR(SEARCH("R-0",F126)),ISERROR(SEARCH("CU-",F126))),"Sin ticket. ","")&amp;IF(ISNA(MATCH(E126,Datos!$E$8:$E$22,0)),"Proyecto sin valor hora. ","")&amp;IF(ISNA(MATCH(D126,Datos!$A$8:$A$22,0)),"Persona fuera del equipo. ","")))</f>
        <v/>
      </c>
      <c r="I126" s="21" t="n"/>
      <c r="J126" s="22" t="n"/>
      <c r="K126" s="23">
        <f>IF(G126="","",IF(J126&lt;&gt;"",MIN(J126,G126),IF(OR(I126="Observada",I126="Rechazada"),0,G126)))</f>
        <v/>
      </c>
      <c r="L126" s="24" t="n"/>
      <c r="M126" s="25">
        <f>IF(OR(A126="",D126=""),0,IF(COUNTIFS($A$2:A126,A126,$D$2:D126,D126)=1,1,0))</f>
        <v/>
      </c>
    </row>
    <row r="127">
      <c r="A127" s="26" t="n"/>
      <c r="B127" s="27" t="n"/>
      <c r="C127" s="27" t="n"/>
      <c r="D127" s="28" t="n"/>
      <c r="E127" s="28" t="n"/>
      <c r="F127" s="29" t="n"/>
      <c r="G127" s="30" t="n"/>
      <c r="H127" s="20">
        <f>IF(A127="","",TRIM(IF(WEEKDAY(A127,2)&gt;5,"Fin de semana. ","")&amp;IF(SUMIFS($G$2:$G$601,$A$2:$A$601,A127,$D$2:$D$601,D127)&gt;9,"Más de 9 h en el día. ","")&amp;IF(AND(B127&lt;&gt;"",C127&lt;&gt;"",C127&lt;B127),"Cruza la medianoche. ","")&amp;IF(LEN(TRIM(F127))&lt;15,"Sin descripción suficiente. ","")&amp;IF(AND(ISERROR(SEARCH("R-0",F127)),ISERROR(SEARCH("CU-",F127))),"Sin ticket. ","")&amp;IF(ISNA(MATCH(E127,Datos!$E$8:$E$22,0)),"Proyecto sin valor hora. ","")&amp;IF(ISNA(MATCH(D127,Datos!$A$8:$A$22,0)),"Persona fuera del equipo. ","")))</f>
        <v/>
      </c>
      <c r="I127" s="21" t="n"/>
      <c r="J127" s="22" t="n"/>
      <c r="K127" s="23">
        <f>IF(G127="","",IF(J127&lt;&gt;"",MIN(J127,G127),IF(OR(I127="Observada",I127="Rechazada"),0,G127)))</f>
        <v/>
      </c>
      <c r="L127" s="24" t="n"/>
      <c r="M127" s="25">
        <f>IF(OR(A127="",D127=""),0,IF(COUNTIFS($A$2:A127,A127,$D$2:D127,D127)=1,1,0))</f>
        <v/>
      </c>
    </row>
    <row r="128">
      <c r="A128" s="26" t="n"/>
      <c r="B128" s="27" t="n"/>
      <c r="C128" s="27" t="n"/>
      <c r="D128" s="28" t="n"/>
      <c r="E128" s="28" t="n"/>
      <c r="F128" s="29" t="n"/>
      <c r="G128" s="30" t="n"/>
      <c r="H128" s="20">
        <f>IF(A128="","",TRIM(IF(WEEKDAY(A128,2)&gt;5,"Fin de semana. ","")&amp;IF(SUMIFS($G$2:$G$601,$A$2:$A$601,A128,$D$2:$D$601,D128)&gt;9,"Más de 9 h en el día. ","")&amp;IF(AND(B128&lt;&gt;"",C128&lt;&gt;"",C128&lt;B128),"Cruza la medianoche. ","")&amp;IF(LEN(TRIM(F128))&lt;15,"Sin descripción suficiente. ","")&amp;IF(AND(ISERROR(SEARCH("R-0",F128)),ISERROR(SEARCH("CU-",F128))),"Sin ticket. ","")&amp;IF(ISNA(MATCH(E128,Datos!$E$8:$E$22,0)),"Proyecto sin valor hora. ","")&amp;IF(ISNA(MATCH(D128,Datos!$A$8:$A$22,0)),"Persona fuera del equipo. ","")))</f>
        <v/>
      </c>
      <c r="I128" s="21" t="n"/>
      <c r="J128" s="22" t="n"/>
      <c r="K128" s="23">
        <f>IF(G128="","",IF(J128&lt;&gt;"",MIN(J128,G128),IF(OR(I128="Observada",I128="Rechazada"),0,G128)))</f>
        <v/>
      </c>
      <c r="L128" s="24" t="n"/>
      <c r="M128" s="25">
        <f>IF(OR(A128="",D128=""),0,IF(COUNTIFS($A$2:A128,A128,$D$2:D128,D128)=1,1,0))</f>
        <v/>
      </c>
    </row>
    <row r="129">
      <c r="A129" s="26" t="n"/>
      <c r="B129" s="27" t="n"/>
      <c r="C129" s="27" t="n"/>
      <c r="D129" s="28" t="n"/>
      <c r="E129" s="28" t="n"/>
      <c r="F129" s="29" t="n"/>
      <c r="G129" s="30" t="n"/>
      <c r="H129" s="20">
        <f>IF(A129="","",TRIM(IF(WEEKDAY(A129,2)&gt;5,"Fin de semana. ","")&amp;IF(SUMIFS($G$2:$G$601,$A$2:$A$601,A129,$D$2:$D$601,D129)&gt;9,"Más de 9 h en el día. ","")&amp;IF(AND(B129&lt;&gt;"",C129&lt;&gt;"",C129&lt;B129),"Cruza la medianoche. ","")&amp;IF(LEN(TRIM(F129))&lt;15,"Sin descripción suficiente. ","")&amp;IF(AND(ISERROR(SEARCH("R-0",F129)),ISERROR(SEARCH("CU-",F129))),"Sin ticket. ","")&amp;IF(ISNA(MATCH(E129,Datos!$E$8:$E$22,0)),"Proyecto sin valor hora. ","")&amp;IF(ISNA(MATCH(D129,Datos!$A$8:$A$22,0)),"Persona fuera del equipo. ","")))</f>
        <v/>
      </c>
      <c r="I129" s="21" t="n"/>
      <c r="J129" s="22" t="n"/>
      <c r="K129" s="23">
        <f>IF(G129="","",IF(J129&lt;&gt;"",MIN(J129,G129),IF(OR(I129="Observada",I129="Rechazada"),0,G129)))</f>
        <v/>
      </c>
      <c r="L129" s="24" t="n"/>
      <c r="M129" s="25">
        <f>IF(OR(A129="",D129=""),0,IF(COUNTIFS($A$2:A129,A129,$D$2:D129,D129)=1,1,0))</f>
        <v/>
      </c>
    </row>
    <row r="130">
      <c r="A130" s="26" t="n"/>
      <c r="B130" s="27" t="n"/>
      <c r="C130" s="27" t="n"/>
      <c r="D130" s="28" t="n"/>
      <c r="E130" s="28" t="n"/>
      <c r="F130" s="29" t="n"/>
      <c r="G130" s="30" t="n"/>
      <c r="H130" s="20">
        <f>IF(A130="","",TRIM(IF(WEEKDAY(A130,2)&gt;5,"Fin de semana. ","")&amp;IF(SUMIFS($G$2:$G$601,$A$2:$A$601,A130,$D$2:$D$601,D130)&gt;9,"Más de 9 h en el día. ","")&amp;IF(AND(B130&lt;&gt;"",C130&lt;&gt;"",C130&lt;B130),"Cruza la medianoche. ","")&amp;IF(LEN(TRIM(F130))&lt;15,"Sin descripción suficiente. ","")&amp;IF(AND(ISERROR(SEARCH("R-0",F130)),ISERROR(SEARCH("CU-",F130))),"Sin ticket. ","")&amp;IF(ISNA(MATCH(E130,Datos!$E$8:$E$22,0)),"Proyecto sin valor hora. ","")&amp;IF(ISNA(MATCH(D130,Datos!$A$8:$A$22,0)),"Persona fuera del equipo. ","")))</f>
        <v/>
      </c>
      <c r="I130" s="21" t="n"/>
      <c r="J130" s="22" t="n"/>
      <c r="K130" s="23">
        <f>IF(G130="","",IF(J130&lt;&gt;"",MIN(J130,G130),IF(OR(I130="Observada",I130="Rechazada"),0,G130)))</f>
        <v/>
      </c>
      <c r="L130" s="24" t="n"/>
      <c r="M130" s="25">
        <f>IF(OR(A130="",D130=""),0,IF(COUNTIFS($A$2:A130,A130,$D$2:D130,D130)=1,1,0))</f>
        <v/>
      </c>
    </row>
    <row r="131">
      <c r="A131" s="26" t="n"/>
      <c r="B131" s="27" t="n"/>
      <c r="C131" s="27" t="n"/>
      <c r="D131" s="28" t="n"/>
      <c r="E131" s="28" t="n"/>
      <c r="F131" s="29" t="n"/>
      <c r="G131" s="30" t="n"/>
      <c r="H131" s="20">
        <f>IF(A131="","",TRIM(IF(WEEKDAY(A131,2)&gt;5,"Fin de semana. ","")&amp;IF(SUMIFS($G$2:$G$601,$A$2:$A$601,A131,$D$2:$D$601,D131)&gt;9,"Más de 9 h en el día. ","")&amp;IF(AND(B131&lt;&gt;"",C131&lt;&gt;"",C131&lt;B131),"Cruza la medianoche. ","")&amp;IF(LEN(TRIM(F131))&lt;15,"Sin descripción suficiente. ","")&amp;IF(AND(ISERROR(SEARCH("R-0",F131)),ISERROR(SEARCH("CU-",F131))),"Sin ticket. ","")&amp;IF(ISNA(MATCH(E131,Datos!$E$8:$E$22,0)),"Proyecto sin valor hora. ","")&amp;IF(ISNA(MATCH(D131,Datos!$A$8:$A$22,0)),"Persona fuera del equipo. ","")))</f>
        <v/>
      </c>
      <c r="I131" s="21" t="n"/>
      <c r="J131" s="22" t="n"/>
      <c r="K131" s="23">
        <f>IF(G131="","",IF(J131&lt;&gt;"",MIN(J131,G131),IF(OR(I131="Observada",I131="Rechazada"),0,G131)))</f>
        <v/>
      </c>
      <c r="L131" s="24" t="n"/>
      <c r="M131" s="25">
        <f>IF(OR(A131="",D131=""),0,IF(COUNTIFS($A$2:A131,A131,$D$2:D131,D131)=1,1,0))</f>
        <v/>
      </c>
    </row>
    <row r="132">
      <c r="A132" s="26" t="n"/>
      <c r="B132" s="27" t="n"/>
      <c r="C132" s="27" t="n"/>
      <c r="D132" s="28" t="n"/>
      <c r="E132" s="28" t="n"/>
      <c r="F132" s="29" t="n"/>
      <c r="G132" s="30" t="n"/>
      <c r="H132" s="20">
        <f>IF(A132="","",TRIM(IF(WEEKDAY(A132,2)&gt;5,"Fin de semana. ","")&amp;IF(SUMIFS($G$2:$G$601,$A$2:$A$601,A132,$D$2:$D$601,D132)&gt;9,"Más de 9 h en el día. ","")&amp;IF(AND(B132&lt;&gt;"",C132&lt;&gt;"",C132&lt;B132),"Cruza la medianoche. ","")&amp;IF(LEN(TRIM(F132))&lt;15,"Sin descripción suficiente. ","")&amp;IF(AND(ISERROR(SEARCH("R-0",F132)),ISERROR(SEARCH("CU-",F132))),"Sin ticket. ","")&amp;IF(ISNA(MATCH(E132,Datos!$E$8:$E$22,0)),"Proyecto sin valor hora. ","")&amp;IF(ISNA(MATCH(D132,Datos!$A$8:$A$22,0)),"Persona fuera del equipo. ","")))</f>
        <v/>
      </c>
      <c r="I132" s="21" t="n"/>
      <c r="J132" s="22" t="n"/>
      <c r="K132" s="23">
        <f>IF(G132="","",IF(J132&lt;&gt;"",MIN(J132,G132),IF(OR(I132="Observada",I132="Rechazada"),0,G132)))</f>
        <v/>
      </c>
      <c r="L132" s="24" t="n"/>
      <c r="M132" s="25">
        <f>IF(OR(A132="",D132=""),0,IF(COUNTIFS($A$2:A132,A132,$D$2:D132,D132)=1,1,0))</f>
        <v/>
      </c>
    </row>
    <row r="133">
      <c r="A133" s="26" t="n"/>
      <c r="B133" s="27" t="n"/>
      <c r="C133" s="27" t="n"/>
      <c r="D133" s="28" t="n"/>
      <c r="E133" s="28" t="n"/>
      <c r="F133" s="29" t="n"/>
      <c r="G133" s="30" t="n"/>
      <c r="H133" s="20">
        <f>IF(A133="","",TRIM(IF(WEEKDAY(A133,2)&gt;5,"Fin de semana. ","")&amp;IF(SUMIFS($G$2:$G$601,$A$2:$A$601,A133,$D$2:$D$601,D133)&gt;9,"Más de 9 h en el día. ","")&amp;IF(AND(B133&lt;&gt;"",C133&lt;&gt;"",C133&lt;B133),"Cruza la medianoche. ","")&amp;IF(LEN(TRIM(F133))&lt;15,"Sin descripción suficiente. ","")&amp;IF(AND(ISERROR(SEARCH("R-0",F133)),ISERROR(SEARCH("CU-",F133))),"Sin ticket. ","")&amp;IF(ISNA(MATCH(E133,Datos!$E$8:$E$22,0)),"Proyecto sin valor hora. ","")&amp;IF(ISNA(MATCH(D133,Datos!$A$8:$A$22,0)),"Persona fuera del equipo. ","")))</f>
        <v/>
      </c>
      <c r="I133" s="21" t="n"/>
      <c r="J133" s="22" t="n"/>
      <c r="K133" s="23">
        <f>IF(G133="","",IF(J133&lt;&gt;"",MIN(J133,G133),IF(OR(I133="Observada",I133="Rechazada"),0,G133)))</f>
        <v/>
      </c>
      <c r="L133" s="24" t="n"/>
      <c r="M133" s="25">
        <f>IF(OR(A133="",D133=""),0,IF(COUNTIFS($A$2:A133,A133,$D$2:D133,D133)=1,1,0))</f>
        <v/>
      </c>
    </row>
    <row r="134">
      <c r="A134" s="26" t="n"/>
      <c r="B134" s="27" t="n"/>
      <c r="C134" s="27" t="n"/>
      <c r="D134" s="28" t="n"/>
      <c r="E134" s="28" t="n"/>
      <c r="F134" s="29" t="n"/>
      <c r="G134" s="30" t="n"/>
      <c r="H134" s="20">
        <f>IF(A134="","",TRIM(IF(WEEKDAY(A134,2)&gt;5,"Fin de semana. ","")&amp;IF(SUMIFS($G$2:$G$601,$A$2:$A$601,A134,$D$2:$D$601,D134)&gt;9,"Más de 9 h en el día. ","")&amp;IF(AND(B134&lt;&gt;"",C134&lt;&gt;"",C134&lt;B134),"Cruza la medianoche. ","")&amp;IF(LEN(TRIM(F134))&lt;15,"Sin descripción suficiente. ","")&amp;IF(AND(ISERROR(SEARCH("R-0",F134)),ISERROR(SEARCH("CU-",F134))),"Sin ticket. ","")&amp;IF(ISNA(MATCH(E134,Datos!$E$8:$E$22,0)),"Proyecto sin valor hora. ","")&amp;IF(ISNA(MATCH(D134,Datos!$A$8:$A$22,0)),"Persona fuera del equipo. ","")))</f>
        <v/>
      </c>
      <c r="I134" s="21" t="n"/>
      <c r="J134" s="22" t="n"/>
      <c r="K134" s="23">
        <f>IF(G134="","",IF(J134&lt;&gt;"",MIN(J134,G134),IF(OR(I134="Observada",I134="Rechazada"),0,G134)))</f>
        <v/>
      </c>
      <c r="L134" s="24" t="n"/>
      <c r="M134" s="25">
        <f>IF(OR(A134="",D134=""),0,IF(COUNTIFS($A$2:A134,A134,$D$2:D134,D134)=1,1,0))</f>
        <v/>
      </c>
    </row>
    <row r="135">
      <c r="A135" s="26" t="n"/>
      <c r="B135" s="27" t="n"/>
      <c r="C135" s="27" t="n"/>
      <c r="D135" s="28" t="n"/>
      <c r="E135" s="28" t="n"/>
      <c r="F135" s="29" t="n"/>
      <c r="G135" s="30" t="n"/>
      <c r="H135" s="20">
        <f>IF(A135="","",TRIM(IF(WEEKDAY(A135,2)&gt;5,"Fin de semana. ","")&amp;IF(SUMIFS($G$2:$G$601,$A$2:$A$601,A135,$D$2:$D$601,D135)&gt;9,"Más de 9 h en el día. ","")&amp;IF(AND(B135&lt;&gt;"",C135&lt;&gt;"",C135&lt;B135),"Cruza la medianoche. ","")&amp;IF(LEN(TRIM(F135))&lt;15,"Sin descripción suficiente. ","")&amp;IF(AND(ISERROR(SEARCH("R-0",F135)),ISERROR(SEARCH("CU-",F135))),"Sin ticket. ","")&amp;IF(ISNA(MATCH(E135,Datos!$E$8:$E$22,0)),"Proyecto sin valor hora. ","")&amp;IF(ISNA(MATCH(D135,Datos!$A$8:$A$22,0)),"Persona fuera del equipo. ","")))</f>
        <v/>
      </c>
      <c r="I135" s="21" t="n"/>
      <c r="J135" s="22" t="n"/>
      <c r="K135" s="23">
        <f>IF(G135="","",IF(J135&lt;&gt;"",MIN(J135,G135),IF(OR(I135="Observada",I135="Rechazada"),0,G135)))</f>
        <v/>
      </c>
      <c r="L135" s="24" t="n"/>
      <c r="M135" s="25">
        <f>IF(OR(A135="",D135=""),0,IF(COUNTIFS($A$2:A135,A135,$D$2:D135,D135)=1,1,0))</f>
        <v/>
      </c>
    </row>
    <row r="136">
      <c r="A136" s="26" t="n"/>
      <c r="B136" s="27" t="n"/>
      <c r="C136" s="27" t="n"/>
      <c r="D136" s="28" t="n"/>
      <c r="E136" s="28" t="n"/>
      <c r="F136" s="29" t="n"/>
      <c r="G136" s="30" t="n"/>
      <c r="H136" s="20">
        <f>IF(A136="","",TRIM(IF(WEEKDAY(A136,2)&gt;5,"Fin de semana. ","")&amp;IF(SUMIFS($G$2:$G$601,$A$2:$A$601,A136,$D$2:$D$601,D136)&gt;9,"Más de 9 h en el día. ","")&amp;IF(AND(B136&lt;&gt;"",C136&lt;&gt;"",C136&lt;B136),"Cruza la medianoche. ","")&amp;IF(LEN(TRIM(F136))&lt;15,"Sin descripción suficiente. ","")&amp;IF(AND(ISERROR(SEARCH("R-0",F136)),ISERROR(SEARCH("CU-",F136))),"Sin ticket. ","")&amp;IF(ISNA(MATCH(E136,Datos!$E$8:$E$22,0)),"Proyecto sin valor hora. ","")&amp;IF(ISNA(MATCH(D136,Datos!$A$8:$A$22,0)),"Persona fuera del equipo. ","")))</f>
        <v/>
      </c>
      <c r="I136" s="21" t="n"/>
      <c r="J136" s="22" t="n"/>
      <c r="K136" s="23">
        <f>IF(G136="","",IF(J136&lt;&gt;"",MIN(J136,G136),IF(OR(I136="Observada",I136="Rechazada"),0,G136)))</f>
        <v/>
      </c>
      <c r="L136" s="24" t="n"/>
      <c r="M136" s="25">
        <f>IF(OR(A136="",D136=""),0,IF(COUNTIFS($A$2:A136,A136,$D$2:D136,D136)=1,1,0))</f>
        <v/>
      </c>
    </row>
    <row r="137">
      <c r="A137" s="26" t="n"/>
      <c r="B137" s="27" t="n"/>
      <c r="C137" s="27" t="n"/>
      <c r="D137" s="28" t="n"/>
      <c r="E137" s="28" t="n"/>
      <c r="F137" s="29" t="n"/>
      <c r="G137" s="30" t="n"/>
      <c r="H137" s="20">
        <f>IF(A137="","",TRIM(IF(WEEKDAY(A137,2)&gt;5,"Fin de semana. ","")&amp;IF(SUMIFS($G$2:$G$601,$A$2:$A$601,A137,$D$2:$D$601,D137)&gt;9,"Más de 9 h en el día. ","")&amp;IF(AND(B137&lt;&gt;"",C137&lt;&gt;"",C137&lt;B137),"Cruza la medianoche. ","")&amp;IF(LEN(TRIM(F137))&lt;15,"Sin descripción suficiente. ","")&amp;IF(AND(ISERROR(SEARCH("R-0",F137)),ISERROR(SEARCH("CU-",F137))),"Sin ticket. ","")&amp;IF(ISNA(MATCH(E137,Datos!$E$8:$E$22,0)),"Proyecto sin valor hora. ","")&amp;IF(ISNA(MATCH(D137,Datos!$A$8:$A$22,0)),"Persona fuera del equipo. ","")))</f>
        <v/>
      </c>
      <c r="I137" s="21" t="n"/>
      <c r="J137" s="22" t="n"/>
      <c r="K137" s="23">
        <f>IF(G137="","",IF(J137&lt;&gt;"",MIN(J137,G137),IF(OR(I137="Observada",I137="Rechazada"),0,G137)))</f>
        <v/>
      </c>
      <c r="L137" s="24" t="n"/>
      <c r="M137" s="25">
        <f>IF(OR(A137="",D137=""),0,IF(COUNTIFS($A$2:A137,A137,$D$2:D137,D137)=1,1,0))</f>
        <v/>
      </c>
    </row>
    <row r="138">
      <c r="A138" s="26" t="n"/>
      <c r="B138" s="27" t="n"/>
      <c r="C138" s="27" t="n"/>
      <c r="D138" s="28" t="n"/>
      <c r="E138" s="28" t="n"/>
      <c r="F138" s="29" t="n"/>
      <c r="G138" s="30" t="n"/>
      <c r="H138" s="20">
        <f>IF(A138="","",TRIM(IF(WEEKDAY(A138,2)&gt;5,"Fin de semana. ","")&amp;IF(SUMIFS($G$2:$G$601,$A$2:$A$601,A138,$D$2:$D$601,D138)&gt;9,"Más de 9 h en el día. ","")&amp;IF(AND(B138&lt;&gt;"",C138&lt;&gt;"",C138&lt;B138),"Cruza la medianoche. ","")&amp;IF(LEN(TRIM(F138))&lt;15,"Sin descripción suficiente. ","")&amp;IF(AND(ISERROR(SEARCH("R-0",F138)),ISERROR(SEARCH("CU-",F138))),"Sin ticket. ","")&amp;IF(ISNA(MATCH(E138,Datos!$E$8:$E$22,0)),"Proyecto sin valor hora. ","")&amp;IF(ISNA(MATCH(D138,Datos!$A$8:$A$22,0)),"Persona fuera del equipo. ","")))</f>
        <v/>
      </c>
      <c r="I138" s="21" t="n"/>
      <c r="J138" s="22" t="n"/>
      <c r="K138" s="23">
        <f>IF(G138="","",IF(J138&lt;&gt;"",MIN(J138,G138),IF(OR(I138="Observada",I138="Rechazada"),0,G138)))</f>
        <v/>
      </c>
      <c r="L138" s="24" t="n"/>
      <c r="M138" s="25">
        <f>IF(OR(A138="",D138=""),0,IF(COUNTIFS($A$2:A138,A138,$D$2:D138,D138)=1,1,0))</f>
        <v/>
      </c>
    </row>
    <row r="139">
      <c r="A139" s="26" t="n"/>
      <c r="B139" s="27" t="n"/>
      <c r="C139" s="27" t="n"/>
      <c r="D139" s="28" t="n"/>
      <c r="E139" s="28" t="n"/>
      <c r="F139" s="29" t="n"/>
      <c r="G139" s="30" t="n"/>
      <c r="H139" s="20">
        <f>IF(A139="","",TRIM(IF(WEEKDAY(A139,2)&gt;5,"Fin de semana. ","")&amp;IF(SUMIFS($G$2:$G$601,$A$2:$A$601,A139,$D$2:$D$601,D139)&gt;9,"Más de 9 h en el día. ","")&amp;IF(AND(B139&lt;&gt;"",C139&lt;&gt;"",C139&lt;B139),"Cruza la medianoche. ","")&amp;IF(LEN(TRIM(F139))&lt;15,"Sin descripción suficiente. ","")&amp;IF(AND(ISERROR(SEARCH("R-0",F139)),ISERROR(SEARCH("CU-",F139))),"Sin ticket. ","")&amp;IF(ISNA(MATCH(E139,Datos!$E$8:$E$22,0)),"Proyecto sin valor hora. ","")&amp;IF(ISNA(MATCH(D139,Datos!$A$8:$A$22,0)),"Persona fuera del equipo. ","")))</f>
        <v/>
      </c>
      <c r="I139" s="21" t="n"/>
      <c r="J139" s="22" t="n"/>
      <c r="K139" s="23">
        <f>IF(G139="","",IF(J139&lt;&gt;"",MIN(J139,G139),IF(OR(I139="Observada",I139="Rechazada"),0,G139)))</f>
        <v/>
      </c>
      <c r="L139" s="24" t="n"/>
      <c r="M139" s="25">
        <f>IF(OR(A139="",D139=""),0,IF(COUNTIFS($A$2:A139,A139,$D$2:D139,D139)=1,1,0))</f>
        <v/>
      </c>
    </row>
    <row r="140">
      <c r="A140" s="26" t="n"/>
      <c r="B140" s="27" t="n"/>
      <c r="C140" s="27" t="n"/>
      <c r="D140" s="28" t="n"/>
      <c r="E140" s="28" t="n"/>
      <c r="F140" s="29" t="n"/>
      <c r="G140" s="30" t="n"/>
      <c r="H140" s="20">
        <f>IF(A140="","",TRIM(IF(WEEKDAY(A140,2)&gt;5,"Fin de semana. ","")&amp;IF(SUMIFS($G$2:$G$601,$A$2:$A$601,A140,$D$2:$D$601,D140)&gt;9,"Más de 9 h en el día. ","")&amp;IF(AND(B140&lt;&gt;"",C140&lt;&gt;"",C140&lt;B140),"Cruza la medianoche. ","")&amp;IF(LEN(TRIM(F140))&lt;15,"Sin descripción suficiente. ","")&amp;IF(AND(ISERROR(SEARCH("R-0",F140)),ISERROR(SEARCH("CU-",F140))),"Sin ticket. ","")&amp;IF(ISNA(MATCH(E140,Datos!$E$8:$E$22,0)),"Proyecto sin valor hora. ","")&amp;IF(ISNA(MATCH(D140,Datos!$A$8:$A$22,0)),"Persona fuera del equipo. ","")))</f>
        <v/>
      </c>
      <c r="I140" s="21" t="n"/>
      <c r="J140" s="22" t="n"/>
      <c r="K140" s="23">
        <f>IF(G140="","",IF(J140&lt;&gt;"",MIN(J140,G140),IF(OR(I140="Observada",I140="Rechazada"),0,G140)))</f>
        <v/>
      </c>
      <c r="L140" s="24" t="n"/>
      <c r="M140" s="25">
        <f>IF(OR(A140="",D140=""),0,IF(COUNTIFS($A$2:A140,A140,$D$2:D140,D140)=1,1,0))</f>
        <v/>
      </c>
    </row>
    <row r="141">
      <c r="A141" s="26" t="n"/>
      <c r="B141" s="27" t="n"/>
      <c r="C141" s="27" t="n"/>
      <c r="D141" s="28" t="n"/>
      <c r="E141" s="28" t="n"/>
      <c r="F141" s="29" t="n"/>
      <c r="G141" s="30" t="n"/>
      <c r="H141" s="20">
        <f>IF(A141="","",TRIM(IF(WEEKDAY(A141,2)&gt;5,"Fin de semana. ","")&amp;IF(SUMIFS($G$2:$G$601,$A$2:$A$601,A141,$D$2:$D$601,D141)&gt;9,"Más de 9 h en el día. ","")&amp;IF(AND(B141&lt;&gt;"",C141&lt;&gt;"",C141&lt;B141),"Cruza la medianoche. ","")&amp;IF(LEN(TRIM(F141))&lt;15,"Sin descripción suficiente. ","")&amp;IF(AND(ISERROR(SEARCH("R-0",F141)),ISERROR(SEARCH("CU-",F141))),"Sin ticket. ","")&amp;IF(ISNA(MATCH(E141,Datos!$E$8:$E$22,0)),"Proyecto sin valor hora. ","")&amp;IF(ISNA(MATCH(D141,Datos!$A$8:$A$22,0)),"Persona fuera del equipo. ","")))</f>
        <v/>
      </c>
      <c r="I141" s="21" t="n"/>
      <c r="J141" s="22" t="n"/>
      <c r="K141" s="23">
        <f>IF(G141="","",IF(J141&lt;&gt;"",MIN(J141,G141),IF(OR(I141="Observada",I141="Rechazada"),0,G141)))</f>
        <v/>
      </c>
      <c r="L141" s="24" t="n"/>
      <c r="M141" s="25">
        <f>IF(OR(A141="",D141=""),0,IF(COUNTIFS($A$2:A141,A141,$D$2:D141,D141)=1,1,0))</f>
        <v/>
      </c>
    </row>
    <row r="142">
      <c r="A142" s="26" t="n"/>
      <c r="B142" s="27" t="n"/>
      <c r="C142" s="27" t="n"/>
      <c r="D142" s="28" t="n"/>
      <c r="E142" s="28" t="n"/>
      <c r="F142" s="29" t="n"/>
      <c r="G142" s="30" t="n"/>
      <c r="H142" s="20">
        <f>IF(A142="","",TRIM(IF(WEEKDAY(A142,2)&gt;5,"Fin de semana. ","")&amp;IF(SUMIFS($G$2:$G$601,$A$2:$A$601,A142,$D$2:$D$601,D142)&gt;9,"Más de 9 h en el día. ","")&amp;IF(AND(B142&lt;&gt;"",C142&lt;&gt;"",C142&lt;B142),"Cruza la medianoche. ","")&amp;IF(LEN(TRIM(F142))&lt;15,"Sin descripción suficiente. ","")&amp;IF(AND(ISERROR(SEARCH("R-0",F142)),ISERROR(SEARCH("CU-",F142))),"Sin ticket. ","")&amp;IF(ISNA(MATCH(E142,Datos!$E$8:$E$22,0)),"Proyecto sin valor hora. ","")&amp;IF(ISNA(MATCH(D142,Datos!$A$8:$A$22,0)),"Persona fuera del equipo. ","")))</f>
        <v/>
      </c>
      <c r="I142" s="21" t="n"/>
      <c r="J142" s="22" t="n"/>
      <c r="K142" s="23">
        <f>IF(G142="","",IF(J142&lt;&gt;"",MIN(J142,G142),IF(OR(I142="Observada",I142="Rechazada"),0,G142)))</f>
        <v/>
      </c>
      <c r="L142" s="24" t="n"/>
      <c r="M142" s="25">
        <f>IF(OR(A142="",D142=""),0,IF(COUNTIFS($A$2:A142,A142,$D$2:D142,D142)=1,1,0))</f>
        <v/>
      </c>
    </row>
    <row r="143">
      <c r="A143" s="26" t="n"/>
      <c r="B143" s="27" t="n"/>
      <c r="C143" s="27" t="n"/>
      <c r="D143" s="28" t="n"/>
      <c r="E143" s="28" t="n"/>
      <c r="F143" s="29" t="n"/>
      <c r="G143" s="30" t="n"/>
      <c r="H143" s="20">
        <f>IF(A143="","",TRIM(IF(WEEKDAY(A143,2)&gt;5,"Fin de semana. ","")&amp;IF(SUMIFS($G$2:$G$601,$A$2:$A$601,A143,$D$2:$D$601,D143)&gt;9,"Más de 9 h en el día. ","")&amp;IF(AND(B143&lt;&gt;"",C143&lt;&gt;"",C143&lt;B143),"Cruza la medianoche. ","")&amp;IF(LEN(TRIM(F143))&lt;15,"Sin descripción suficiente. ","")&amp;IF(AND(ISERROR(SEARCH("R-0",F143)),ISERROR(SEARCH("CU-",F143))),"Sin ticket. ","")&amp;IF(ISNA(MATCH(E143,Datos!$E$8:$E$22,0)),"Proyecto sin valor hora. ","")&amp;IF(ISNA(MATCH(D143,Datos!$A$8:$A$22,0)),"Persona fuera del equipo. ","")))</f>
        <v/>
      </c>
      <c r="I143" s="21" t="n"/>
      <c r="J143" s="22" t="n"/>
      <c r="K143" s="23">
        <f>IF(G143="","",IF(J143&lt;&gt;"",MIN(J143,G143),IF(OR(I143="Observada",I143="Rechazada"),0,G143)))</f>
        <v/>
      </c>
      <c r="L143" s="24" t="n"/>
      <c r="M143" s="25">
        <f>IF(OR(A143="",D143=""),0,IF(COUNTIFS($A$2:A143,A143,$D$2:D143,D143)=1,1,0))</f>
        <v/>
      </c>
    </row>
    <row r="144">
      <c r="A144" s="26" t="n"/>
      <c r="B144" s="27" t="n"/>
      <c r="C144" s="27" t="n"/>
      <c r="D144" s="28" t="n"/>
      <c r="E144" s="28" t="n"/>
      <c r="F144" s="29" t="n"/>
      <c r="G144" s="30" t="n"/>
      <c r="H144" s="20">
        <f>IF(A144="","",TRIM(IF(WEEKDAY(A144,2)&gt;5,"Fin de semana. ","")&amp;IF(SUMIFS($G$2:$G$601,$A$2:$A$601,A144,$D$2:$D$601,D144)&gt;9,"Más de 9 h en el día. ","")&amp;IF(AND(B144&lt;&gt;"",C144&lt;&gt;"",C144&lt;B144),"Cruza la medianoche. ","")&amp;IF(LEN(TRIM(F144))&lt;15,"Sin descripción suficiente. ","")&amp;IF(AND(ISERROR(SEARCH("R-0",F144)),ISERROR(SEARCH("CU-",F144))),"Sin ticket. ","")&amp;IF(ISNA(MATCH(E144,Datos!$E$8:$E$22,0)),"Proyecto sin valor hora. ","")&amp;IF(ISNA(MATCH(D144,Datos!$A$8:$A$22,0)),"Persona fuera del equipo. ","")))</f>
        <v/>
      </c>
      <c r="I144" s="21" t="n"/>
      <c r="J144" s="22" t="n"/>
      <c r="K144" s="23">
        <f>IF(G144="","",IF(J144&lt;&gt;"",MIN(J144,G144),IF(OR(I144="Observada",I144="Rechazada"),0,G144)))</f>
        <v/>
      </c>
      <c r="L144" s="24" t="n"/>
      <c r="M144" s="25">
        <f>IF(OR(A144="",D144=""),0,IF(COUNTIFS($A$2:A144,A144,$D$2:D144,D144)=1,1,0))</f>
        <v/>
      </c>
    </row>
    <row r="145">
      <c r="A145" s="26" t="n"/>
      <c r="B145" s="27" t="n"/>
      <c r="C145" s="27" t="n"/>
      <c r="D145" s="28" t="n"/>
      <c r="E145" s="28" t="n"/>
      <c r="F145" s="29" t="n"/>
      <c r="G145" s="30" t="n"/>
      <c r="H145" s="20">
        <f>IF(A145="","",TRIM(IF(WEEKDAY(A145,2)&gt;5,"Fin de semana. ","")&amp;IF(SUMIFS($G$2:$G$601,$A$2:$A$601,A145,$D$2:$D$601,D145)&gt;9,"Más de 9 h en el día. ","")&amp;IF(AND(B145&lt;&gt;"",C145&lt;&gt;"",C145&lt;B145),"Cruza la medianoche. ","")&amp;IF(LEN(TRIM(F145))&lt;15,"Sin descripción suficiente. ","")&amp;IF(AND(ISERROR(SEARCH("R-0",F145)),ISERROR(SEARCH("CU-",F145))),"Sin ticket. ","")&amp;IF(ISNA(MATCH(E145,Datos!$E$8:$E$22,0)),"Proyecto sin valor hora. ","")&amp;IF(ISNA(MATCH(D145,Datos!$A$8:$A$22,0)),"Persona fuera del equipo. ","")))</f>
        <v/>
      </c>
      <c r="I145" s="21" t="n"/>
      <c r="J145" s="22" t="n"/>
      <c r="K145" s="23">
        <f>IF(G145="","",IF(J145&lt;&gt;"",MIN(J145,G145),IF(OR(I145="Observada",I145="Rechazada"),0,G145)))</f>
        <v/>
      </c>
      <c r="L145" s="24" t="n"/>
      <c r="M145" s="25">
        <f>IF(OR(A145="",D145=""),0,IF(COUNTIFS($A$2:A145,A145,$D$2:D145,D145)=1,1,0))</f>
        <v/>
      </c>
    </row>
    <row r="146">
      <c r="A146" s="26" t="n"/>
      <c r="B146" s="27" t="n"/>
      <c r="C146" s="27" t="n"/>
      <c r="D146" s="28" t="n"/>
      <c r="E146" s="28" t="n"/>
      <c r="F146" s="29" t="n"/>
      <c r="G146" s="30" t="n"/>
      <c r="H146" s="20">
        <f>IF(A146="","",TRIM(IF(WEEKDAY(A146,2)&gt;5,"Fin de semana. ","")&amp;IF(SUMIFS($G$2:$G$601,$A$2:$A$601,A146,$D$2:$D$601,D146)&gt;9,"Más de 9 h en el día. ","")&amp;IF(AND(B146&lt;&gt;"",C146&lt;&gt;"",C146&lt;B146),"Cruza la medianoche. ","")&amp;IF(LEN(TRIM(F146))&lt;15,"Sin descripción suficiente. ","")&amp;IF(AND(ISERROR(SEARCH("R-0",F146)),ISERROR(SEARCH("CU-",F146))),"Sin ticket. ","")&amp;IF(ISNA(MATCH(E146,Datos!$E$8:$E$22,0)),"Proyecto sin valor hora. ","")&amp;IF(ISNA(MATCH(D146,Datos!$A$8:$A$22,0)),"Persona fuera del equipo. ","")))</f>
        <v/>
      </c>
      <c r="I146" s="21" t="n"/>
      <c r="J146" s="22" t="n"/>
      <c r="K146" s="23">
        <f>IF(G146="","",IF(J146&lt;&gt;"",MIN(J146,G146),IF(OR(I146="Observada",I146="Rechazada"),0,G146)))</f>
        <v/>
      </c>
      <c r="L146" s="24" t="n"/>
      <c r="M146" s="25">
        <f>IF(OR(A146="",D146=""),0,IF(COUNTIFS($A$2:A146,A146,$D$2:D146,D146)=1,1,0))</f>
        <v/>
      </c>
    </row>
    <row r="147">
      <c r="A147" s="26" t="n"/>
      <c r="B147" s="27" t="n"/>
      <c r="C147" s="27" t="n"/>
      <c r="D147" s="28" t="n"/>
      <c r="E147" s="28" t="n"/>
      <c r="F147" s="29" t="n"/>
      <c r="G147" s="30" t="n"/>
      <c r="H147" s="20">
        <f>IF(A147="","",TRIM(IF(WEEKDAY(A147,2)&gt;5,"Fin de semana. ","")&amp;IF(SUMIFS($G$2:$G$601,$A$2:$A$601,A147,$D$2:$D$601,D147)&gt;9,"Más de 9 h en el día. ","")&amp;IF(AND(B147&lt;&gt;"",C147&lt;&gt;"",C147&lt;B147),"Cruza la medianoche. ","")&amp;IF(LEN(TRIM(F147))&lt;15,"Sin descripción suficiente. ","")&amp;IF(AND(ISERROR(SEARCH("R-0",F147)),ISERROR(SEARCH("CU-",F147))),"Sin ticket. ","")&amp;IF(ISNA(MATCH(E147,Datos!$E$8:$E$22,0)),"Proyecto sin valor hora. ","")&amp;IF(ISNA(MATCH(D147,Datos!$A$8:$A$22,0)),"Persona fuera del equipo. ","")))</f>
        <v/>
      </c>
      <c r="I147" s="21" t="n"/>
      <c r="J147" s="22" t="n"/>
      <c r="K147" s="23">
        <f>IF(G147="","",IF(J147&lt;&gt;"",MIN(J147,G147),IF(OR(I147="Observada",I147="Rechazada"),0,G147)))</f>
        <v/>
      </c>
      <c r="L147" s="24" t="n"/>
      <c r="M147" s="25">
        <f>IF(OR(A147="",D147=""),0,IF(COUNTIFS($A$2:A147,A147,$D$2:D147,D147)=1,1,0))</f>
        <v/>
      </c>
    </row>
    <row r="148">
      <c r="A148" s="26" t="n"/>
      <c r="B148" s="27" t="n"/>
      <c r="C148" s="27" t="n"/>
      <c r="D148" s="28" t="n"/>
      <c r="E148" s="28" t="n"/>
      <c r="F148" s="29" t="n"/>
      <c r="G148" s="30" t="n"/>
      <c r="H148" s="20">
        <f>IF(A148="","",TRIM(IF(WEEKDAY(A148,2)&gt;5,"Fin de semana. ","")&amp;IF(SUMIFS($G$2:$G$601,$A$2:$A$601,A148,$D$2:$D$601,D148)&gt;9,"Más de 9 h en el día. ","")&amp;IF(AND(B148&lt;&gt;"",C148&lt;&gt;"",C148&lt;B148),"Cruza la medianoche. ","")&amp;IF(LEN(TRIM(F148))&lt;15,"Sin descripción suficiente. ","")&amp;IF(AND(ISERROR(SEARCH("R-0",F148)),ISERROR(SEARCH("CU-",F148))),"Sin ticket. ","")&amp;IF(ISNA(MATCH(E148,Datos!$E$8:$E$22,0)),"Proyecto sin valor hora. ","")&amp;IF(ISNA(MATCH(D148,Datos!$A$8:$A$22,0)),"Persona fuera del equipo. ","")))</f>
        <v/>
      </c>
      <c r="I148" s="21" t="n"/>
      <c r="J148" s="22" t="n"/>
      <c r="K148" s="23">
        <f>IF(G148="","",IF(J148&lt;&gt;"",MIN(J148,G148),IF(OR(I148="Observada",I148="Rechazada"),0,G148)))</f>
        <v/>
      </c>
      <c r="L148" s="24" t="n"/>
      <c r="M148" s="25">
        <f>IF(OR(A148="",D148=""),0,IF(COUNTIFS($A$2:A148,A148,$D$2:D148,D148)=1,1,0))</f>
        <v/>
      </c>
    </row>
    <row r="149">
      <c r="A149" s="26" t="n"/>
      <c r="B149" s="27" t="n"/>
      <c r="C149" s="27" t="n"/>
      <c r="D149" s="28" t="n"/>
      <c r="E149" s="28" t="n"/>
      <c r="F149" s="29" t="n"/>
      <c r="G149" s="30" t="n"/>
      <c r="H149" s="20">
        <f>IF(A149="","",TRIM(IF(WEEKDAY(A149,2)&gt;5,"Fin de semana. ","")&amp;IF(SUMIFS($G$2:$G$601,$A$2:$A$601,A149,$D$2:$D$601,D149)&gt;9,"Más de 9 h en el día. ","")&amp;IF(AND(B149&lt;&gt;"",C149&lt;&gt;"",C149&lt;B149),"Cruza la medianoche. ","")&amp;IF(LEN(TRIM(F149))&lt;15,"Sin descripción suficiente. ","")&amp;IF(AND(ISERROR(SEARCH("R-0",F149)),ISERROR(SEARCH("CU-",F149))),"Sin ticket. ","")&amp;IF(ISNA(MATCH(E149,Datos!$E$8:$E$22,0)),"Proyecto sin valor hora. ","")&amp;IF(ISNA(MATCH(D149,Datos!$A$8:$A$22,0)),"Persona fuera del equipo. ","")))</f>
        <v/>
      </c>
      <c r="I149" s="21" t="n"/>
      <c r="J149" s="22" t="n"/>
      <c r="K149" s="23">
        <f>IF(G149="","",IF(J149&lt;&gt;"",MIN(J149,G149),IF(OR(I149="Observada",I149="Rechazada"),0,G149)))</f>
        <v/>
      </c>
      <c r="L149" s="24" t="n"/>
      <c r="M149" s="25">
        <f>IF(OR(A149="",D149=""),0,IF(COUNTIFS($A$2:A149,A149,$D$2:D149,D149)=1,1,0))</f>
        <v/>
      </c>
    </row>
    <row r="150">
      <c r="A150" s="26" t="n"/>
      <c r="B150" s="27" t="n"/>
      <c r="C150" s="27" t="n"/>
      <c r="D150" s="28" t="n"/>
      <c r="E150" s="28" t="n"/>
      <c r="F150" s="29" t="n"/>
      <c r="G150" s="30" t="n"/>
      <c r="H150" s="20">
        <f>IF(A150="","",TRIM(IF(WEEKDAY(A150,2)&gt;5,"Fin de semana. ","")&amp;IF(SUMIFS($G$2:$G$601,$A$2:$A$601,A150,$D$2:$D$601,D150)&gt;9,"Más de 9 h en el día. ","")&amp;IF(AND(B150&lt;&gt;"",C150&lt;&gt;"",C150&lt;B150),"Cruza la medianoche. ","")&amp;IF(LEN(TRIM(F150))&lt;15,"Sin descripción suficiente. ","")&amp;IF(AND(ISERROR(SEARCH("R-0",F150)),ISERROR(SEARCH("CU-",F150))),"Sin ticket. ","")&amp;IF(ISNA(MATCH(E150,Datos!$E$8:$E$22,0)),"Proyecto sin valor hora. ","")&amp;IF(ISNA(MATCH(D150,Datos!$A$8:$A$22,0)),"Persona fuera del equipo. ","")))</f>
        <v/>
      </c>
      <c r="I150" s="21" t="n"/>
      <c r="J150" s="22" t="n"/>
      <c r="K150" s="23">
        <f>IF(G150="","",IF(J150&lt;&gt;"",MIN(J150,G150),IF(OR(I150="Observada",I150="Rechazada"),0,G150)))</f>
        <v/>
      </c>
      <c r="L150" s="24" t="n"/>
      <c r="M150" s="25">
        <f>IF(OR(A150="",D150=""),0,IF(COUNTIFS($A$2:A150,A150,$D$2:D150,D150)=1,1,0))</f>
        <v/>
      </c>
    </row>
    <row r="151">
      <c r="A151" s="26" t="n"/>
      <c r="B151" s="27" t="n"/>
      <c r="C151" s="27" t="n"/>
      <c r="D151" s="28" t="n"/>
      <c r="E151" s="28" t="n"/>
      <c r="F151" s="29" t="n"/>
      <c r="G151" s="30" t="n"/>
      <c r="H151" s="20">
        <f>IF(A151="","",TRIM(IF(WEEKDAY(A151,2)&gt;5,"Fin de semana. ","")&amp;IF(SUMIFS($G$2:$G$601,$A$2:$A$601,A151,$D$2:$D$601,D151)&gt;9,"Más de 9 h en el día. ","")&amp;IF(AND(B151&lt;&gt;"",C151&lt;&gt;"",C151&lt;B151),"Cruza la medianoche. ","")&amp;IF(LEN(TRIM(F151))&lt;15,"Sin descripción suficiente. ","")&amp;IF(AND(ISERROR(SEARCH("R-0",F151)),ISERROR(SEARCH("CU-",F151))),"Sin ticket. ","")&amp;IF(ISNA(MATCH(E151,Datos!$E$8:$E$22,0)),"Proyecto sin valor hora. ","")&amp;IF(ISNA(MATCH(D151,Datos!$A$8:$A$22,0)),"Persona fuera del equipo. ","")))</f>
        <v/>
      </c>
      <c r="I151" s="21" t="n"/>
      <c r="J151" s="22" t="n"/>
      <c r="K151" s="23">
        <f>IF(G151="","",IF(J151&lt;&gt;"",MIN(J151,G151),IF(OR(I151="Observada",I151="Rechazada"),0,G151)))</f>
        <v/>
      </c>
      <c r="L151" s="24" t="n"/>
      <c r="M151" s="25">
        <f>IF(OR(A151="",D151=""),0,IF(COUNTIFS($A$2:A151,A151,$D$2:D151,D151)=1,1,0))</f>
        <v/>
      </c>
    </row>
    <row r="152">
      <c r="A152" s="26" t="n"/>
      <c r="B152" s="27" t="n"/>
      <c r="C152" s="27" t="n"/>
      <c r="D152" s="28" t="n"/>
      <c r="E152" s="28" t="n"/>
      <c r="F152" s="29" t="n"/>
      <c r="G152" s="30" t="n"/>
      <c r="H152" s="20">
        <f>IF(A152="","",TRIM(IF(WEEKDAY(A152,2)&gt;5,"Fin de semana. ","")&amp;IF(SUMIFS($G$2:$G$601,$A$2:$A$601,A152,$D$2:$D$601,D152)&gt;9,"Más de 9 h en el día. ","")&amp;IF(AND(B152&lt;&gt;"",C152&lt;&gt;"",C152&lt;B152),"Cruza la medianoche. ","")&amp;IF(LEN(TRIM(F152))&lt;15,"Sin descripción suficiente. ","")&amp;IF(AND(ISERROR(SEARCH("R-0",F152)),ISERROR(SEARCH("CU-",F152))),"Sin ticket. ","")&amp;IF(ISNA(MATCH(E152,Datos!$E$8:$E$22,0)),"Proyecto sin valor hora. ","")&amp;IF(ISNA(MATCH(D152,Datos!$A$8:$A$22,0)),"Persona fuera del equipo. ","")))</f>
        <v/>
      </c>
      <c r="I152" s="21" t="n"/>
      <c r="J152" s="22" t="n"/>
      <c r="K152" s="23">
        <f>IF(G152="","",IF(J152&lt;&gt;"",MIN(J152,G152),IF(OR(I152="Observada",I152="Rechazada"),0,G152)))</f>
        <v/>
      </c>
      <c r="L152" s="24" t="n"/>
      <c r="M152" s="25">
        <f>IF(OR(A152="",D152=""),0,IF(COUNTIFS($A$2:A152,A152,$D$2:D152,D152)=1,1,0))</f>
        <v/>
      </c>
    </row>
    <row r="153">
      <c r="A153" s="26" t="n"/>
      <c r="B153" s="27" t="n"/>
      <c r="C153" s="27" t="n"/>
      <c r="D153" s="28" t="n"/>
      <c r="E153" s="28" t="n"/>
      <c r="F153" s="29" t="n"/>
      <c r="G153" s="30" t="n"/>
      <c r="H153" s="20">
        <f>IF(A153="","",TRIM(IF(WEEKDAY(A153,2)&gt;5,"Fin de semana. ","")&amp;IF(SUMIFS($G$2:$G$601,$A$2:$A$601,A153,$D$2:$D$601,D153)&gt;9,"Más de 9 h en el día. ","")&amp;IF(AND(B153&lt;&gt;"",C153&lt;&gt;"",C153&lt;B153),"Cruza la medianoche. ","")&amp;IF(LEN(TRIM(F153))&lt;15,"Sin descripción suficiente. ","")&amp;IF(AND(ISERROR(SEARCH("R-0",F153)),ISERROR(SEARCH("CU-",F153))),"Sin ticket. ","")&amp;IF(ISNA(MATCH(E153,Datos!$E$8:$E$22,0)),"Proyecto sin valor hora. ","")&amp;IF(ISNA(MATCH(D153,Datos!$A$8:$A$22,0)),"Persona fuera del equipo. ","")))</f>
        <v/>
      </c>
      <c r="I153" s="21" t="n"/>
      <c r="J153" s="22" t="n"/>
      <c r="K153" s="23">
        <f>IF(G153="","",IF(J153&lt;&gt;"",MIN(J153,G153),IF(OR(I153="Observada",I153="Rechazada"),0,G153)))</f>
        <v/>
      </c>
      <c r="L153" s="24" t="n"/>
      <c r="M153" s="25">
        <f>IF(OR(A153="",D153=""),0,IF(COUNTIFS($A$2:A153,A153,$D$2:D153,D153)=1,1,0))</f>
        <v/>
      </c>
    </row>
    <row r="154">
      <c r="A154" s="26" t="n"/>
      <c r="B154" s="27" t="n"/>
      <c r="C154" s="27" t="n"/>
      <c r="D154" s="28" t="n"/>
      <c r="E154" s="28" t="n"/>
      <c r="F154" s="29" t="n"/>
      <c r="G154" s="30" t="n"/>
      <c r="H154" s="20">
        <f>IF(A154="","",TRIM(IF(WEEKDAY(A154,2)&gt;5,"Fin de semana. ","")&amp;IF(SUMIFS($G$2:$G$601,$A$2:$A$601,A154,$D$2:$D$601,D154)&gt;9,"Más de 9 h en el día. ","")&amp;IF(AND(B154&lt;&gt;"",C154&lt;&gt;"",C154&lt;B154),"Cruza la medianoche. ","")&amp;IF(LEN(TRIM(F154))&lt;15,"Sin descripción suficiente. ","")&amp;IF(AND(ISERROR(SEARCH("R-0",F154)),ISERROR(SEARCH("CU-",F154))),"Sin ticket. ","")&amp;IF(ISNA(MATCH(E154,Datos!$E$8:$E$22,0)),"Proyecto sin valor hora. ","")&amp;IF(ISNA(MATCH(D154,Datos!$A$8:$A$22,0)),"Persona fuera del equipo. ","")))</f>
        <v/>
      </c>
      <c r="I154" s="21" t="n"/>
      <c r="J154" s="22" t="n"/>
      <c r="K154" s="23">
        <f>IF(G154="","",IF(J154&lt;&gt;"",MIN(J154,G154),IF(OR(I154="Observada",I154="Rechazada"),0,G154)))</f>
        <v/>
      </c>
      <c r="L154" s="24" t="n"/>
      <c r="M154" s="25">
        <f>IF(OR(A154="",D154=""),0,IF(COUNTIFS($A$2:A154,A154,$D$2:D154,D154)=1,1,0))</f>
        <v/>
      </c>
    </row>
    <row r="155">
      <c r="A155" s="26" t="n"/>
      <c r="B155" s="27" t="n"/>
      <c r="C155" s="27" t="n"/>
      <c r="D155" s="28" t="n"/>
      <c r="E155" s="28" t="n"/>
      <c r="F155" s="29" t="n"/>
      <c r="G155" s="30" t="n"/>
      <c r="H155" s="20">
        <f>IF(A155="","",TRIM(IF(WEEKDAY(A155,2)&gt;5,"Fin de semana. ","")&amp;IF(SUMIFS($G$2:$G$601,$A$2:$A$601,A155,$D$2:$D$601,D155)&gt;9,"Más de 9 h en el día. ","")&amp;IF(AND(B155&lt;&gt;"",C155&lt;&gt;"",C155&lt;B155),"Cruza la medianoche. ","")&amp;IF(LEN(TRIM(F155))&lt;15,"Sin descripción suficiente. ","")&amp;IF(AND(ISERROR(SEARCH("R-0",F155)),ISERROR(SEARCH("CU-",F155))),"Sin ticket. ","")&amp;IF(ISNA(MATCH(E155,Datos!$E$8:$E$22,0)),"Proyecto sin valor hora. ","")&amp;IF(ISNA(MATCH(D155,Datos!$A$8:$A$22,0)),"Persona fuera del equipo. ","")))</f>
        <v/>
      </c>
      <c r="I155" s="21" t="n"/>
      <c r="J155" s="22" t="n"/>
      <c r="K155" s="23">
        <f>IF(G155="","",IF(J155&lt;&gt;"",MIN(J155,G155),IF(OR(I155="Observada",I155="Rechazada"),0,G155)))</f>
        <v/>
      </c>
      <c r="L155" s="24" t="n"/>
      <c r="M155" s="25">
        <f>IF(OR(A155="",D155=""),0,IF(COUNTIFS($A$2:A155,A155,$D$2:D155,D155)=1,1,0))</f>
        <v/>
      </c>
    </row>
    <row r="156">
      <c r="A156" s="26" t="n"/>
      <c r="B156" s="27" t="n"/>
      <c r="C156" s="27" t="n"/>
      <c r="D156" s="28" t="n"/>
      <c r="E156" s="28" t="n"/>
      <c r="F156" s="29" t="n"/>
      <c r="G156" s="30" t="n"/>
      <c r="H156" s="20">
        <f>IF(A156="","",TRIM(IF(WEEKDAY(A156,2)&gt;5,"Fin de semana. ","")&amp;IF(SUMIFS($G$2:$G$601,$A$2:$A$601,A156,$D$2:$D$601,D156)&gt;9,"Más de 9 h en el día. ","")&amp;IF(AND(B156&lt;&gt;"",C156&lt;&gt;"",C156&lt;B156),"Cruza la medianoche. ","")&amp;IF(LEN(TRIM(F156))&lt;15,"Sin descripción suficiente. ","")&amp;IF(AND(ISERROR(SEARCH("R-0",F156)),ISERROR(SEARCH("CU-",F156))),"Sin ticket. ","")&amp;IF(ISNA(MATCH(E156,Datos!$E$8:$E$22,0)),"Proyecto sin valor hora. ","")&amp;IF(ISNA(MATCH(D156,Datos!$A$8:$A$22,0)),"Persona fuera del equipo. ","")))</f>
        <v/>
      </c>
      <c r="I156" s="21" t="n"/>
      <c r="J156" s="22" t="n"/>
      <c r="K156" s="23">
        <f>IF(G156="","",IF(J156&lt;&gt;"",MIN(J156,G156),IF(OR(I156="Observada",I156="Rechazada"),0,G156)))</f>
        <v/>
      </c>
      <c r="L156" s="24" t="n"/>
      <c r="M156" s="25">
        <f>IF(OR(A156="",D156=""),0,IF(COUNTIFS($A$2:A156,A156,$D$2:D156,D156)=1,1,0))</f>
        <v/>
      </c>
    </row>
    <row r="157">
      <c r="A157" s="26" t="n"/>
      <c r="B157" s="27" t="n"/>
      <c r="C157" s="27" t="n"/>
      <c r="D157" s="28" t="n"/>
      <c r="E157" s="28" t="n"/>
      <c r="F157" s="29" t="n"/>
      <c r="G157" s="30" t="n"/>
      <c r="H157" s="20">
        <f>IF(A157="","",TRIM(IF(WEEKDAY(A157,2)&gt;5,"Fin de semana. ","")&amp;IF(SUMIFS($G$2:$G$601,$A$2:$A$601,A157,$D$2:$D$601,D157)&gt;9,"Más de 9 h en el día. ","")&amp;IF(AND(B157&lt;&gt;"",C157&lt;&gt;"",C157&lt;B157),"Cruza la medianoche. ","")&amp;IF(LEN(TRIM(F157))&lt;15,"Sin descripción suficiente. ","")&amp;IF(AND(ISERROR(SEARCH("R-0",F157)),ISERROR(SEARCH("CU-",F157))),"Sin ticket. ","")&amp;IF(ISNA(MATCH(E157,Datos!$E$8:$E$22,0)),"Proyecto sin valor hora. ","")&amp;IF(ISNA(MATCH(D157,Datos!$A$8:$A$22,0)),"Persona fuera del equipo. ","")))</f>
        <v/>
      </c>
      <c r="I157" s="21" t="n"/>
      <c r="J157" s="22" t="n"/>
      <c r="K157" s="23">
        <f>IF(G157="","",IF(J157&lt;&gt;"",MIN(J157,G157),IF(OR(I157="Observada",I157="Rechazada"),0,G157)))</f>
        <v/>
      </c>
      <c r="L157" s="24" t="n"/>
      <c r="M157" s="25">
        <f>IF(OR(A157="",D157=""),0,IF(COUNTIFS($A$2:A157,A157,$D$2:D157,D157)=1,1,0))</f>
        <v/>
      </c>
    </row>
    <row r="158">
      <c r="A158" s="26" t="n"/>
      <c r="B158" s="27" t="n"/>
      <c r="C158" s="27" t="n"/>
      <c r="D158" s="28" t="n"/>
      <c r="E158" s="28" t="n"/>
      <c r="F158" s="29" t="n"/>
      <c r="G158" s="30" t="n"/>
      <c r="H158" s="20">
        <f>IF(A158="","",TRIM(IF(WEEKDAY(A158,2)&gt;5,"Fin de semana. ","")&amp;IF(SUMIFS($G$2:$G$601,$A$2:$A$601,A158,$D$2:$D$601,D158)&gt;9,"Más de 9 h en el día. ","")&amp;IF(AND(B158&lt;&gt;"",C158&lt;&gt;"",C158&lt;B158),"Cruza la medianoche. ","")&amp;IF(LEN(TRIM(F158))&lt;15,"Sin descripción suficiente. ","")&amp;IF(AND(ISERROR(SEARCH("R-0",F158)),ISERROR(SEARCH("CU-",F158))),"Sin ticket. ","")&amp;IF(ISNA(MATCH(E158,Datos!$E$8:$E$22,0)),"Proyecto sin valor hora. ","")&amp;IF(ISNA(MATCH(D158,Datos!$A$8:$A$22,0)),"Persona fuera del equipo. ","")))</f>
        <v/>
      </c>
      <c r="I158" s="21" t="n"/>
      <c r="J158" s="22" t="n"/>
      <c r="K158" s="23">
        <f>IF(G158="","",IF(J158&lt;&gt;"",MIN(J158,G158),IF(OR(I158="Observada",I158="Rechazada"),0,G158)))</f>
        <v/>
      </c>
      <c r="L158" s="24" t="n"/>
      <c r="M158" s="25">
        <f>IF(OR(A158="",D158=""),0,IF(COUNTIFS($A$2:A158,A158,$D$2:D158,D158)=1,1,0))</f>
        <v/>
      </c>
    </row>
    <row r="159">
      <c r="A159" s="26" t="n"/>
      <c r="B159" s="27" t="n"/>
      <c r="C159" s="27" t="n"/>
      <c r="D159" s="28" t="n"/>
      <c r="E159" s="28" t="n"/>
      <c r="F159" s="29" t="n"/>
      <c r="G159" s="30" t="n"/>
      <c r="H159" s="20">
        <f>IF(A159="","",TRIM(IF(WEEKDAY(A159,2)&gt;5,"Fin de semana. ","")&amp;IF(SUMIFS($G$2:$G$601,$A$2:$A$601,A159,$D$2:$D$601,D159)&gt;9,"Más de 9 h en el día. ","")&amp;IF(AND(B159&lt;&gt;"",C159&lt;&gt;"",C159&lt;B159),"Cruza la medianoche. ","")&amp;IF(LEN(TRIM(F159))&lt;15,"Sin descripción suficiente. ","")&amp;IF(AND(ISERROR(SEARCH("R-0",F159)),ISERROR(SEARCH("CU-",F159))),"Sin ticket. ","")&amp;IF(ISNA(MATCH(E159,Datos!$E$8:$E$22,0)),"Proyecto sin valor hora. ","")&amp;IF(ISNA(MATCH(D159,Datos!$A$8:$A$22,0)),"Persona fuera del equipo. ","")))</f>
        <v/>
      </c>
      <c r="I159" s="21" t="n"/>
      <c r="J159" s="22" t="n"/>
      <c r="K159" s="23">
        <f>IF(G159="","",IF(J159&lt;&gt;"",MIN(J159,G159),IF(OR(I159="Observada",I159="Rechazada"),0,G159)))</f>
        <v/>
      </c>
      <c r="L159" s="24" t="n"/>
      <c r="M159" s="25">
        <f>IF(OR(A159="",D159=""),0,IF(COUNTIFS($A$2:A159,A159,$D$2:D159,D159)=1,1,0))</f>
        <v/>
      </c>
    </row>
    <row r="160">
      <c r="A160" s="26" t="n"/>
      <c r="B160" s="27" t="n"/>
      <c r="C160" s="27" t="n"/>
      <c r="D160" s="28" t="n"/>
      <c r="E160" s="28" t="n"/>
      <c r="F160" s="29" t="n"/>
      <c r="G160" s="30" t="n"/>
      <c r="H160" s="20">
        <f>IF(A160="","",TRIM(IF(WEEKDAY(A160,2)&gt;5,"Fin de semana. ","")&amp;IF(SUMIFS($G$2:$G$601,$A$2:$A$601,A160,$D$2:$D$601,D160)&gt;9,"Más de 9 h en el día. ","")&amp;IF(AND(B160&lt;&gt;"",C160&lt;&gt;"",C160&lt;B160),"Cruza la medianoche. ","")&amp;IF(LEN(TRIM(F160))&lt;15,"Sin descripción suficiente. ","")&amp;IF(AND(ISERROR(SEARCH("R-0",F160)),ISERROR(SEARCH("CU-",F160))),"Sin ticket. ","")&amp;IF(ISNA(MATCH(E160,Datos!$E$8:$E$22,0)),"Proyecto sin valor hora. ","")&amp;IF(ISNA(MATCH(D160,Datos!$A$8:$A$22,0)),"Persona fuera del equipo. ","")))</f>
        <v/>
      </c>
      <c r="I160" s="21" t="n"/>
      <c r="J160" s="22" t="n"/>
      <c r="K160" s="23">
        <f>IF(G160="","",IF(J160&lt;&gt;"",MIN(J160,G160),IF(OR(I160="Observada",I160="Rechazada"),0,G160)))</f>
        <v/>
      </c>
      <c r="L160" s="24" t="n"/>
      <c r="M160" s="25">
        <f>IF(OR(A160="",D160=""),0,IF(COUNTIFS($A$2:A160,A160,$D$2:D160,D160)=1,1,0))</f>
        <v/>
      </c>
    </row>
    <row r="161">
      <c r="A161" s="26" t="n"/>
      <c r="B161" s="27" t="n"/>
      <c r="C161" s="27" t="n"/>
      <c r="D161" s="28" t="n"/>
      <c r="E161" s="28" t="n"/>
      <c r="F161" s="29" t="n"/>
      <c r="G161" s="30" t="n"/>
      <c r="H161" s="20">
        <f>IF(A161="","",TRIM(IF(WEEKDAY(A161,2)&gt;5,"Fin de semana. ","")&amp;IF(SUMIFS($G$2:$G$601,$A$2:$A$601,A161,$D$2:$D$601,D161)&gt;9,"Más de 9 h en el día. ","")&amp;IF(AND(B161&lt;&gt;"",C161&lt;&gt;"",C161&lt;B161),"Cruza la medianoche. ","")&amp;IF(LEN(TRIM(F161))&lt;15,"Sin descripción suficiente. ","")&amp;IF(AND(ISERROR(SEARCH("R-0",F161)),ISERROR(SEARCH("CU-",F161))),"Sin ticket. ","")&amp;IF(ISNA(MATCH(E161,Datos!$E$8:$E$22,0)),"Proyecto sin valor hora. ","")&amp;IF(ISNA(MATCH(D161,Datos!$A$8:$A$22,0)),"Persona fuera del equipo. ","")))</f>
        <v/>
      </c>
      <c r="I161" s="21" t="n"/>
      <c r="J161" s="22" t="n"/>
      <c r="K161" s="23">
        <f>IF(G161="","",IF(J161&lt;&gt;"",MIN(J161,G161),IF(OR(I161="Observada",I161="Rechazada"),0,G161)))</f>
        <v/>
      </c>
      <c r="L161" s="24" t="n"/>
      <c r="M161" s="25">
        <f>IF(OR(A161="",D161=""),0,IF(COUNTIFS($A$2:A161,A161,$D$2:D161,D161)=1,1,0))</f>
        <v/>
      </c>
    </row>
    <row r="162">
      <c r="A162" s="26" t="n"/>
      <c r="B162" s="27" t="n"/>
      <c r="C162" s="27" t="n"/>
      <c r="D162" s="28" t="n"/>
      <c r="E162" s="28" t="n"/>
      <c r="F162" s="29" t="n"/>
      <c r="G162" s="30" t="n"/>
      <c r="H162" s="20">
        <f>IF(A162="","",TRIM(IF(WEEKDAY(A162,2)&gt;5,"Fin de semana. ","")&amp;IF(SUMIFS($G$2:$G$601,$A$2:$A$601,A162,$D$2:$D$601,D162)&gt;9,"Más de 9 h en el día. ","")&amp;IF(AND(B162&lt;&gt;"",C162&lt;&gt;"",C162&lt;B162),"Cruza la medianoche. ","")&amp;IF(LEN(TRIM(F162))&lt;15,"Sin descripción suficiente. ","")&amp;IF(AND(ISERROR(SEARCH("R-0",F162)),ISERROR(SEARCH("CU-",F162))),"Sin ticket. ","")&amp;IF(ISNA(MATCH(E162,Datos!$E$8:$E$22,0)),"Proyecto sin valor hora. ","")&amp;IF(ISNA(MATCH(D162,Datos!$A$8:$A$22,0)),"Persona fuera del equipo. ","")))</f>
        <v/>
      </c>
      <c r="I162" s="21" t="n"/>
      <c r="J162" s="22" t="n"/>
      <c r="K162" s="23">
        <f>IF(G162="","",IF(J162&lt;&gt;"",MIN(J162,G162),IF(OR(I162="Observada",I162="Rechazada"),0,G162)))</f>
        <v/>
      </c>
      <c r="L162" s="24" t="n"/>
      <c r="M162" s="25">
        <f>IF(OR(A162="",D162=""),0,IF(COUNTIFS($A$2:A162,A162,$D$2:D162,D162)=1,1,0))</f>
        <v/>
      </c>
    </row>
    <row r="163">
      <c r="A163" s="26" t="n"/>
      <c r="B163" s="27" t="n"/>
      <c r="C163" s="27" t="n"/>
      <c r="D163" s="28" t="n"/>
      <c r="E163" s="28" t="n"/>
      <c r="F163" s="29" t="n"/>
      <c r="G163" s="30" t="n"/>
      <c r="H163" s="20">
        <f>IF(A163="","",TRIM(IF(WEEKDAY(A163,2)&gt;5,"Fin de semana. ","")&amp;IF(SUMIFS($G$2:$G$601,$A$2:$A$601,A163,$D$2:$D$601,D163)&gt;9,"Más de 9 h en el día. ","")&amp;IF(AND(B163&lt;&gt;"",C163&lt;&gt;"",C163&lt;B163),"Cruza la medianoche. ","")&amp;IF(LEN(TRIM(F163))&lt;15,"Sin descripción suficiente. ","")&amp;IF(AND(ISERROR(SEARCH("R-0",F163)),ISERROR(SEARCH("CU-",F163))),"Sin ticket. ","")&amp;IF(ISNA(MATCH(E163,Datos!$E$8:$E$22,0)),"Proyecto sin valor hora. ","")&amp;IF(ISNA(MATCH(D163,Datos!$A$8:$A$22,0)),"Persona fuera del equipo. ","")))</f>
        <v/>
      </c>
      <c r="I163" s="21" t="n"/>
      <c r="J163" s="22" t="n"/>
      <c r="K163" s="23">
        <f>IF(G163="","",IF(J163&lt;&gt;"",MIN(J163,G163),IF(OR(I163="Observada",I163="Rechazada"),0,G163)))</f>
        <v/>
      </c>
      <c r="L163" s="24" t="n"/>
      <c r="M163" s="25">
        <f>IF(OR(A163="",D163=""),0,IF(COUNTIFS($A$2:A163,A163,$D$2:D163,D163)=1,1,0))</f>
        <v/>
      </c>
    </row>
    <row r="164">
      <c r="A164" s="26" t="n"/>
      <c r="B164" s="27" t="n"/>
      <c r="C164" s="27" t="n"/>
      <c r="D164" s="28" t="n"/>
      <c r="E164" s="28" t="n"/>
      <c r="F164" s="29" t="n"/>
      <c r="G164" s="30" t="n"/>
      <c r="H164" s="20">
        <f>IF(A164="","",TRIM(IF(WEEKDAY(A164,2)&gt;5,"Fin de semana. ","")&amp;IF(SUMIFS($G$2:$G$601,$A$2:$A$601,A164,$D$2:$D$601,D164)&gt;9,"Más de 9 h en el día. ","")&amp;IF(AND(B164&lt;&gt;"",C164&lt;&gt;"",C164&lt;B164),"Cruza la medianoche. ","")&amp;IF(LEN(TRIM(F164))&lt;15,"Sin descripción suficiente. ","")&amp;IF(AND(ISERROR(SEARCH("R-0",F164)),ISERROR(SEARCH("CU-",F164))),"Sin ticket. ","")&amp;IF(ISNA(MATCH(E164,Datos!$E$8:$E$22,0)),"Proyecto sin valor hora. ","")&amp;IF(ISNA(MATCH(D164,Datos!$A$8:$A$22,0)),"Persona fuera del equipo. ","")))</f>
        <v/>
      </c>
      <c r="I164" s="21" t="n"/>
      <c r="J164" s="22" t="n"/>
      <c r="K164" s="23">
        <f>IF(G164="","",IF(J164&lt;&gt;"",MIN(J164,G164),IF(OR(I164="Observada",I164="Rechazada"),0,G164)))</f>
        <v/>
      </c>
      <c r="L164" s="24" t="n"/>
      <c r="M164" s="25">
        <f>IF(OR(A164="",D164=""),0,IF(COUNTIFS($A$2:A164,A164,$D$2:D164,D164)=1,1,0))</f>
        <v/>
      </c>
    </row>
    <row r="165">
      <c r="A165" s="26" t="n"/>
      <c r="B165" s="27" t="n"/>
      <c r="C165" s="27" t="n"/>
      <c r="D165" s="28" t="n"/>
      <c r="E165" s="28" t="n"/>
      <c r="F165" s="29" t="n"/>
      <c r="G165" s="30" t="n"/>
      <c r="H165" s="20">
        <f>IF(A165="","",TRIM(IF(WEEKDAY(A165,2)&gt;5,"Fin de semana. ","")&amp;IF(SUMIFS($G$2:$G$601,$A$2:$A$601,A165,$D$2:$D$601,D165)&gt;9,"Más de 9 h en el día. ","")&amp;IF(AND(B165&lt;&gt;"",C165&lt;&gt;"",C165&lt;B165),"Cruza la medianoche. ","")&amp;IF(LEN(TRIM(F165))&lt;15,"Sin descripción suficiente. ","")&amp;IF(AND(ISERROR(SEARCH("R-0",F165)),ISERROR(SEARCH("CU-",F165))),"Sin ticket. ","")&amp;IF(ISNA(MATCH(E165,Datos!$E$8:$E$22,0)),"Proyecto sin valor hora. ","")&amp;IF(ISNA(MATCH(D165,Datos!$A$8:$A$22,0)),"Persona fuera del equipo. ","")))</f>
        <v/>
      </c>
      <c r="I165" s="21" t="n"/>
      <c r="J165" s="22" t="n"/>
      <c r="K165" s="23">
        <f>IF(G165="","",IF(J165&lt;&gt;"",MIN(J165,G165),IF(OR(I165="Observada",I165="Rechazada"),0,G165)))</f>
        <v/>
      </c>
      <c r="L165" s="24" t="n"/>
      <c r="M165" s="25">
        <f>IF(OR(A165="",D165=""),0,IF(COUNTIFS($A$2:A165,A165,$D$2:D165,D165)=1,1,0))</f>
        <v/>
      </c>
    </row>
    <row r="166">
      <c r="A166" s="26" t="n"/>
      <c r="B166" s="27" t="n"/>
      <c r="C166" s="27" t="n"/>
      <c r="D166" s="28" t="n"/>
      <c r="E166" s="28" t="n"/>
      <c r="F166" s="29" t="n"/>
      <c r="G166" s="30" t="n"/>
      <c r="H166" s="20">
        <f>IF(A166="","",TRIM(IF(WEEKDAY(A166,2)&gt;5,"Fin de semana. ","")&amp;IF(SUMIFS($G$2:$G$601,$A$2:$A$601,A166,$D$2:$D$601,D166)&gt;9,"Más de 9 h en el día. ","")&amp;IF(AND(B166&lt;&gt;"",C166&lt;&gt;"",C166&lt;B166),"Cruza la medianoche. ","")&amp;IF(LEN(TRIM(F166))&lt;15,"Sin descripción suficiente. ","")&amp;IF(AND(ISERROR(SEARCH("R-0",F166)),ISERROR(SEARCH("CU-",F166))),"Sin ticket. ","")&amp;IF(ISNA(MATCH(E166,Datos!$E$8:$E$22,0)),"Proyecto sin valor hora. ","")&amp;IF(ISNA(MATCH(D166,Datos!$A$8:$A$22,0)),"Persona fuera del equipo. ","")))</f>
        <v/>
      </c>
      <c r="I166" s="21" t="n"/>
      <c r="J166" s="22" t="n"/>
      <c r="K166" s="23">
        <f>IF(G166="","",IF(J166&lt;&gt;"",MIN(J166,G166),IF(OR(I166="Observada",I166="Rechazada"),0,G166)))</f>
        <v/>
      </c>
      <c r="L166" s="24" t="n"/>
      <c r="M166" s="25">
        <f>IF(OR(A166="",D166=""),0,IF(COUNTIFS($A$2:A166,A166,$D$2:D166,D166)=1,1,0))</f>
        <v/>
      </c>
    </row>
    <row r="167">
      <c r="A167" s="26" t="n"/>
      <c r="B167" s="27" t="n"/>
      <c r="C167" s="27" t="n"/>
      <c r="D167" s="28" t="n"/>
      <c r="E167" s="28" t="n"/>
      <c r="F167" s="29" t="n"/>
      <c r="G167" s="30" t="n"/>
      <c r="H167" s="20">
        <f>IF(A167="","",TRIM(IF(WEEKDAY(A167,2)&gt;5,"Fin de semana. ","")&amp;IF(SUMIFS($G$2:$G$601,$A$2:$A$601,A167,$D$2:$D$601,D167)&gt;9,"Más de 9 h en el día. ","")&amp;IF(AND(B167&lt;&gt;"",C167&lt;&gt;"",C167&lt;B167),"Cruza la medianoche. ","")&amp;IF(LEN(TRIM(F167))&lt;15,"Sin descripción suficiente. ","")&amp;IF(AND(ISERROR(SEARCH("R-0",F167)),ISERROR(SEARCH("CU-",F167))),"Sin ticket. ","")&amp;IF(ISNA(MATCH(E167,Datos!$E$8:$E$22,0)),"Proyecto sin valor hora. ","")&amp;IF(ISNA(MATCH(D167,Datos!$A$8:$A$22,0)),"Persona fuera del equipo. ","")))</f>
        <v/>
      </c>
      <c r="I167" s="21" t="n"/>
      <c r="J167" s="22" t="n"/>
      <c r="K167" s="23">
        <f>IF(G167="","",IF(J167&lt;&gt;"",MIN(J167,G167),IF(OR(I167="Observada",I167="Rechazada"),0,G167)))</f>
        <v/>
      </c>
      <c r="L167" s="24" t="n"/>
      <c r="M167" s="25">
        <f>IF(OR(A167="",D167=""),0,IF(COUNTIFS($A$2:A167,A167,$D$2:D167,D167)=1,1,0))</f>
        <v/>
      </c>
    </row>
    <row r="168">
      <c r="A168" s="26" t="n"/>
      <c r="B168" s="27" t="n"/>
      <c r="C168" s="27" t="n"/>
      <c r="D168" s="28" t="n"/>
      <c r="E168" s="28" t="n"/>
      <c r="F168" s="29" t="n"/>
      <c r="G168" s="30" t="n"/>
      <c r="H168" s="20">
        <f>IF(A168="","",TRIM(IF(WEEKDAY(A168,2)&gt;5,"Fin de semana. ","")&amp;IF(SUMIFS($G$2:$G$601,$A$2:$A$601,A168,$D$2:$D$601,D168)&gt;9,"Más de 9 h en el día. ","")&amp;IF(AND(B168&lt;&gt;"",C168&lt;&gt;"",C168&lt;B168),"Cruza la medianoche. ","")&amp;IF(LEN(TRIM(F168))&lt;15,"Sin descripción suficiente. ","")&amp;IF(AND(ISERROR(SEARCH("R-0",F168)),ISERROR(SEARCH("CU-",F168))),"Sin ticket. ","")&amp;IF(ISNA(MATCH(E168,Datos!$E$8:$E$22,0)),"Proyecto sin valor hora. ","")&amp;IF(ISNA(MATCH(D168,Datos!$A$8:$A$22,0)),"Persona fuera del equipo. ","")))</f>
        <v/>
      </c>
      <c r="I168" s="21" t="n"/>
      <c r="J168" s="22" t="n"/>
      <c r="K168" s="23">
        <f>IF(G168="","",IF(J168&lt;&gt;"",MIN(J168,G168),IF(OR(I168="Observada",I168="Rechazada"),0,G168)))</f>
        <v/>
      </c>
      <c r="L168" s="24" t="n"/>
      <c r="M168" s="25">
        <f>IF(OR(A168="",D168=""),0,IF(COUNTIFS($A$2:A168,A168,$D$2:D168,D168)=1,1,0))</f>
        <v/>
      </c>
    </row>
    <row r="169">
      <c r="A169" s="26" t="n"/>
      <c r="B169" s="27" t="n"/>
      <c r="C169" s="27" t="n"/>
      <c r="D169" s="28" t="n"/>
      <c r="E169" s="28" t="n"/>
      <c r="F169" s="29" t="n"/>
      <c r="G169" s="30" t="n"/>
      <c r="H169" s="20">
        <f>IF(A169="","",TRIM(IF(WEEKDAY(A169,2)&gt;5,"Fin de semana. ","")&amp;IF(SUMIFS($G$2:$G$601,$A$2:$A$601,A169,$D$2:$D$601,D169)&gt;9,"Más de 9 h en el día. ","")&amp;IF(AND(B169&lt;&gt;"",C169&lt;&gt;"",C169&lt;B169),"Cruza la medianoche. ","")&amp;IF(LEN(TRIM(F169))&lt;15,"Sin descripción suficiente. ","")&amp;IF(AND(ISERROR(SEARCH("R-0",F169)),ISERROR(SEARCH("CU-",F169))),"Sin ticket. ","")&amp;IF(ISNA(MATCH(E169,Datos!$E$8:$E$22,0)),"Proyecto sin valor hora. ","")&amp;IF(ISNA(MATCH(D169,Datos!$A$8:$A$22,0)),"Persona fuera del equipo. ","")))</f>
        <v/>
      </c>
      <c r="I169" s="21" t="n"/>
      <c r="J169" s="22" t="n"/>
      <c r="K169" s="23">
        <f>IF(G169="","",IF(J169&lt;&gt;"",MIN(J169,G169),IF(OR(I169="Observada",I169="Rechazada"),0,G169)))</f>
        <v/>
      </c>
      <c r="L169" s="24" t="n"/>
      <c r="M169" s="25">
        <f>IF(OR(A169="",D169=""),0,IF(COUNTIFS($A$2:A169,A169,$D$2:D169,D169)=1,1,0))</f>
        <v/>
      </c>
    </row>
    <row r="170">
      <c r="A170" s="26" t="n"/>
      <c r="B170" s="27" t="n"/>
      <c r="C170" s="27" t="n"/>
      <c r="D170" s="28" t="n"/>
      <c r="E170" s="28" t="n"/>
      <c r="F170" s="29" t="n"/>
      <c r="G170" s="30" t="n"/>
      <c r="H170" s="20">
        <f>IF(A170="","",TRIM(IF(WEEKDAY(A170,2)&gt;5,"Fin de semana. ","")&amp;IF(SUMIFS($G$2:$G$601,$A$2:$A$601,A170,$D$2:$D$601,D170)&gt;9,"Más de 9 h en el día. ","")&amp;IF(AND(B170&lt;&gt;"",C170&lt;&gt;"",C170&lt;B170),"Cruza la medianoche. ","")&amp;IF(LEN(TRIM(F170))&lt;15,"Sin descripción suficiente. ","")&amp;IF(AND(ISERROR(SEARCH("R-0",F170)),ISERROR(SEARCH("CU-",F170))),"Sin ticket. ","")&amp;IF(ISNA(MATCH(E170,Datos!$E$8:$E$22,0)),"Proyecto sin valor hora. ","")&amp;IF(ISNA(MATCH(D170,Datos!$A$8:$A$22,0)),"Persona fuera del equipo. ","")))</f>
        <v/>
      </c>
      <c r="I170" s="21" t="n"/>
      <c r="J170" s="22" t="n"/>
      <c r="K170" s="23">
        <f>IF(G170="","",IF(J170&lt;&gt;"",MIN(J170,G170),IF(OR(I170="Observada",I170="Rechazada"),0,G170)))</f>
        <v/>
      </c>
      <c r="L170" s="24" t="n"/>
      <c r="M170" s="25">
        <f>IF(OR(A170="",D170=""),0,IF(COUNTIFS($A$2:A170,A170,$D$2:D170,D170)=1,1,0))</f>
        <v/>
      </c>
    </row>
    <row r="171">
      <c r="A171" s="26" t="n"/>
      <c r="B171" s="27" t="n"/>
      <c r="C171" s="27" t="n"/>
      <c r="D171" s="28" t="n"/>
      <c r="E171" s="28" t="n"/>
      <c r="F171" s="29" t="n"/>
      <c r="G171" s="30" t="n"/>
      <c r="H171" s="20">
        <f>IF(A171="","",TRIM(IF(WEEKDAY(A171,2)&gt;5,"Fin de semana. ","")&amp;IF(SUMIFS($G$2:$G$601,$A$2:$A$601,A171,$D$2:$D$601,D171)&gt;9,"Más de 9 h en el día. ","")&amp;IF(AND(B171&lt;&gt;"",C171&lt;&gt;"",C171&lt;B171),"Cruza la medianoche. ","")&amp;IF(LEN(TRIM(F171))&lt;15,"Sin descripción suficiente. ","")&amp;IF(AND(ISERROR(SEARCH("R-0",F171)),ISERROR(SEARCH("CU-",F171))),"Sin ticket. ","")&amp;IF(ISNA(MATCH(E171,Datos!$E$8:$E$22,0)),"Proyecto sin valor hora. ","")&amp;IF(ISNA(MATCH(D171,Datos!$A$8:$A$22,0)),"Persona fuera del equipo. ","")))</f>
        <v/>
      </c>
      <c r="I171" s="21" t="n"/>
      <c r="J171" s="22" t="n"/>
      <c r="K171" s="23">
        <f>IF(G171="","",IF(J171&lt;&gt;"",MIN(J171,G171),IF(OR(I171="Observada",I171="Rechazada"),0,G171)))</f>
        <v/>
      </c>
      <c r="L171" s="24" t="n"/>
      <c r="M171" s="25">
        <f>IF(OR(A171="",D171=""),0,IF(COUNTIFS($A$2:A171,A171,$D$2:D171,D171)=1,1,0))</f>
        <v/>
      </c>
    </row>
    <row r="172">
      <c r="A172" s="26" t="n"/>
      <c r="B172" s="27" t="n"/>
      <c r="C172" s="27" t="n"/>
      <c r="D172" s="28" t="n"/>
      <c r="E172" s="28" t="n"/>
      <c r="F172" s="29" t="n"/>
      <c r="G172" s="30" t="n"/>
      <c r="H172" s="20">
        <f>IF(A172="","",TRIM(IF(WEEKDAY(A172,2)&gt;5,"Fin de semana. ","")&amp;IF(SUMIFS($G$2:$G$601,$A$2:$A$601,A172,$D$2:$D$601,D172)&gt;9,"Más de 9 h en el día. ","")&amp;IF(AND(B172&lt;&gt;"",C172&lt;&gt;"",C172&lt;B172),"Cruza la medianoche. ","")&amp;IF(LEN(TRIM(F172))&lt;15,"Sin descripción suficiente. ","")&amp;IF(AND(ISERROR(SEARCH("R-0",F172)),ISERROR(SEARCH("CU-",F172))),"Sin ticket. ","")&amp;IF(ISNA(MATCH(E172,Datos!$E$8:$E$22,0)),"Proyecto sin valor hora. ","")&amp;IF(ISNA(MATCH(D172,Datos!$A$8:$A$22,0)),"Persona fuera del equipo. ","")))</f>
        <v/>
      </c>
      <c r="I172" s="21" t="n"/>
      <c r="J172" s="22" t="n"/>
      <c r="K172" s="23">
        <f>IF(G172="","",IF(J172&lt;&gt;"",MIN(J172,G172),IF(OR(I172="Observada",I172="Rechazada"),0,G172)))</f>
        <v/>
      </c>
      <c r="L172" s="24" t="n"/>
      <c r="M172" s="25">
        <f>IF(OR(A172="",D172=""),0,IF(COUNTIFS($A$2:A172,A172,$D$2:D172,D172)=1,1,0))</f>
        <v/>
      </c>
    </row>
    <row r="173">
      <c r="A173" s="26" t="n"/>
      <c r="B173" s="27" t="n"/>
      <c r="C173" s="27" t="n"/>
      <c r="D173" s="28" t="n"/>
      <c r="E173" s="28" t="n"/>
      <c r="F173" s="29" t="n"/>
      <c r="G173" s="30" t="n"/>
      <c r="H173" s="20">
        <f>IF(A173="","",TRIM(IF(WEEKDAY(A173,2)&gt;5,"Fin de semana. ","")&amp;IF(SUMIFS($G$2:$G$601,$A$2:$A$601,A173,$D$2:$D$601,D173)&gt;9,"Más de 9 h en el día. ","")&amp;IF(AND(B173&lt;&gt;"",C173&lt;&gt;"",C173&lt;B173),"Cruza la medianoche. ","")&amp;IF(LEN(TRIM(F173))&lt;15,"Sin descripción suficiente. ","")&amp;IF(AND(ISERROR(SEARCH("R-0",F173)),ISERROR(SEARCH("CU-",F173))),"Sin ticket. ","")&amp;IF(ISNA(MATCH(E173,Datos!$E$8:$E$22,0)),"Proyecto sin valor hora. ","")&amp;IF(ISNA(MATCH(D173,Datos!$A$8:$A$22,0)),"Persona fuera del equipo. ","")))</f>
        <v/>
      </c>
      <c r="I173" s="21" t="n"/>
      <c r="J173" s="22" t="n"/>
      <c r="K173" s="23">
        <f>IF(G173="","",IF(J173&lt;&gt;"",MIN(J173,G173),IF(OR(I173="Observada",I173="Rechazada"),0,G173)))</f>
        <v/>
      </c>
      <c r="L173" s="24" t="n"/>
      <c r="M173" s="25">
        <f>IF(OR(A173="",D173=""),0,IF(COUNTIFS($A$2:A173,A173,$D$2:D173,D173)=1,1,0))</f>
        <v/>
      </c>
    </row>
    <row r="174">
      <c r="A174" s="26" t="n"/>
      <c r="B174" s="27" t="n"/>
      <c r="C174" s="27" t="n"/>
      <c r="D174" s="28" t="n"/>
      <c r="E174" s="28" t="n"/>
      <c r="F174" s="29" t="n"/>
      <c r="G174" s="30" t="n"/>
      <c r="H174" s="20">
        <f>IF(A174="","",TRIM(IF(WEEKDAY(A174,2)&gt;5,"Fin de semana. ","")&amp;IF(SUMIFS($G$2:$G$601,$A$2:$A$601,A174,$D$2:$D$601,D174)&gt;9,"Más de 9 h en el día. ","")&amp;IF(AND(B174&lt;&gt;"",C174&lt;&gt;"",C174&lt;B174),"Cruza la medianoche. ","")&amp;IF(LEN(TRIM(F174))&lt;15,"Sin descripción suficiente. ","")&amp;IF(AND(ISERROR(SEARCH("R-0",F174)),ISERROR(SEARCH("CU-",F174))),"Sin ticket. ","")&amp;IF(ISNA(MATCH(E174,Datos!$E$8:$E$22,0)),"Proyecto sin valor hora. ","")&amp;IF(ISNA(MATCH(D174,Datos!$A$8:$A$22,0)),"Persona fuera del equipo. ","")))</f>
        <v/>
      </c>
      <c r="I174" s="21" t="n"/>
      <c r="J174" s="22" t="n"/>
      <c r="K174" s="23">
        <f>IF(G174="","",IF(J174&lt;&gt;"",MIN(J174,G174),IF(OR(I174="Observada",I174="Rechazada"),0,G174)))</f>
        <v/>
      </c>
      <c r="L174" s="24" t="n"/>
      <c r="M174" s="25">
        <f>IF(OR(A174="",D174=""),0,IF(COUNTIFS($A$2:A174,A174,$D$2:D174,D174)=1,1,0))</f>
        <v/>
      </c>
    </row>
    <row r="175">
      <c r="A175" s="26" t="n"/>
      <c r="B175" s="27" t="n"/>
      <c r="C175" s="27" t="n"/>
      <c r="D175" s="28" t="n"/>
      <c r="E175" s="28" t="n"/>
      <c r="F175" s="29" t="n"/>
      <c r="G175" s="30" t="n"/>
      <c r="H175" s="20">
        <f>IF(A175="","",TRIM(IF(WEEKDAY(A175,2)&gt;5,"Fin de semana. ","")&amp;IF(SUMIFS($G$2:$G$601,$A$2:$A$601,A175,$D$2:$D$601,D175)&gt;9,"Más de 9 h en el día. ","")&amp;IF(AND(B175&lt;&gt;"",C175&lt;&gt;"",C175&lt;B175),"Cruza la medianoche. ","")&amp;IF(LEN(TRIM(F175))&lt;15,"Sin descripción suficiente. ","")&amp;IF(AND(ISERROR(SEARCH("R-0",F175)),ISERROR(SEARCH("CU-",F175))),"Sin ticket. ","")&amp;IF(ISNA(MATCH(E175,Datos!$E$8:$E$22,0)),"Proyecto sin valor hora. ","")&amp;IF(ISNA(MATCH(D175,Datos!$A$8:$A$22,0)),"Persona fuera del equipo. ","")))</f>
        <v/>
      </c>
      <c r="I175" s="21" t="n"/>
      <c r="J175" s="22" t="n"/>
      <c r="K175" s="23">
        <f>IF(G175="","",IF(J175&lt;&gt;"",MIN(J175,G175),IF(OR(I175="Observada",I175="Rechazada"),0,G175)))</f>
        <v/>
      </c>
      <c r="L175" s="24" t="n"/>
      <c r="M175" s="25">
        <f>IF(OR(A175="",D175=""),0,IF(COUNTIFS($A$2:A175,A175,$D$2:D175,D175)=1,1,0))</f>
        <v/>
      </c>
    </row>
    <row r="176">
      <c r="A176" s="26" t="n"/>
      <c r="B176" s="27" t="n"/>
      <c r="C176" s="27" t="n"/>
      <c r="D176" s="28" t="n"/>
      <c r="E176" s="28" t="n"/>
      <c r="F176" s="29" t="n"/>
      <c r="G176" s="30" t="n"/>
      <c r="H176" s="20">
        <f>IF(A176="","",TRIM(IF(WEEKDAY(A176,2)&gt;5,"Fin de semana. ","")&amp;IF(SUMIFS($G$2:$G$601,$A$2:$A$601,A176,$D$2:$D$601,D176)&gt;9,"Más de 9 h en el día. ","")&amp;IF(AND(B176&lt;&gt;"",C176&lt;&gt;"",C176&lt;B176),"Cruza la medianoche. ","")&amp;IF(LEN(TRIM(F176))&lt;15,"Sin descripción suficiente. ","")&amp;IF(AND(ISERROR(SEARCH("R-0",F176)),ISERROR(SEARCH("CU-",F176))),"Sin ticket. ","")&amp;IF(ISNA(MATCH(E176,Datos!$E$8:$E$22,0)),"Proyecto sin valor hora. ","")&amp;IF(ISNA(MATCH(D176,Datos!$A$8:$A$22,0)),"Persona fuera del equipo. ","")))</f>
        <v/>
      </c>
      <c r="I176" s="21" t="n"/>
      <c r="J176" s="22" t="n"/>
      <c r="K176" s="23">
        <f>IF(G176="","",IF(J176&lt;&gt;"",MIN(J176,G176),IF(OR(I176="Observada",I176="Rechazada"),0,G176)))</f>
        <v/>
      </c>
      <c r="L176" s="24" t="n"/>
      <c r="M176" s="25">
        <f>IF(OR(A176="",D176=""),0,IF(COUNTIFS($A$2:A176,A176,$D$2:D176,D176)=1,1,0))</f>
        <v/>
      </c>
    </row>
    <row r="177">
      <c r="A177" s="26" t="n"/>
      <c r="B177" s="27" t="n"/>
      <c r="C177" s="27" t="n"/>
      <c r="D177" s="28" t="n"/>
      <c r="E177" s="28" t="n"/>
      <c r="F177" s="29" t="n"/>
      <c r="G177" s="30" t="n"/>
      <c r="H177" s="20">
        <f>IF(A177="","",TRIM(IF(WEEKDAY(A177,2)&gt;5,"Fin de semana. ","")&amp;IF(SUMIFS($G$2:$G$601,$A$2:$A$601,A177,$D$2:$D$601,D177)&gt;9,"Más de 9 h en el día. ","")&amp;IF(AND(B177&lt;&gt;"",C177&lt;&gt;"",C177&lt;B177),"Cruza la medianoche. ","")&amp;IF(LEN(TRIM(F177))&lt;15,"Sin descripción suficiente. ","")&amp;IF(AND(ISERROR(SEARCH("R-0",F177)),ISERROR(SEARCH("CU-",F177))),"Sin ticket. ","")&amp;IF(ISNA(MATCH(E177,Datos!$E$8:$E$22,0)),"Proyecto sin valor hora. ","")&amp;IF(ISNA(MATCH(D177,Datos!$A$8:$A$22,0)),"Persona fuera del equipo. ","")))</f>
        <v/>
      </c>
      <c r="I177" s="21" t="n"/>
      <c r="J177" s="22" t="n"/>
      <c r="K177" s="23">
        <f>IF(G177="","",IF(J177&lt;&gt;"",MIN(J177,G177),IF(OR(I177="Observada",I177="Rechazada"),0,G177)))</f>
        <v/>
      </c>
      <c r="L177" s="24" t="n"/>
      <c r="M177" s="25">
        <f>IF(OR(A177="",D177=""),0,IF(COUNTIFS($A$2:A177,A177,$D$2:D177,D177)=1,1,0))</f>
        <v/>
      </c>
    </row>
    <row r="178">
      <c r="A178" s="26" t="n"/>
      <c r="B178" s="27" t="n"/>
      <c r="C178" s="27" t="n"/>
      <c r="D178" s="28" t="n"/>
      <c r="E178" s="28" t="n"/>
      <c r="F178" s="29" t="n"/>
      <c r="G178" s="30" t="n"/>
      <c r="H178" s="20">
        <f>IF(A178="","",TRIM(IF(WEEKDAY(A178,2)&gt;5,"Fin de semana. ","")&amp;IF(SUMIFS($G$2:$G$601,$A$2:$A$601,A178,$D$2:$D$601,D178)&gt;9,"Más de 9 h en el día. ","")&amp;IF(AND(B178&lt;&gt;"",C178&lt;&gt;"",C178&lt;B178),"Cruza la medianoche. ","")&amp;IF(LEN(TRIM(F178))&lt;15,"Sin descripción suficiente. ","")&amp;IF(AND(ISERROR(SEARCH("R-0",F178)),ISERROR(SEARCH("CU-",F178))),"Sin ticket. ","")&amp;IF(ISNA(MATCH(E178,Datos!$E$8:$E$22,0)),"Proyecto sin valor hora. ","")&amp;IF(ISNA(MATCH(D178,Datos!$A$8:$A$22,0)),"Persona fuera del equipo. ","")))</f>
        <v/>
      </c>
      <c r="I178" s="21" t="n"/>
      <c r="J178" s="22" t="n"/>
      <c r="K178" s="23">
        <f>IF(G178="","",IF(J178&lt;&gt;"",MIN(J178,G178),IF(OR(I178="Observada",I178="Rechazada"),0,G178)))</f>
        <v/>
      </c>
      <c r="L178" s="24" t="n"/>
      <c r="M178" s="25">
        <f>IF(OR(A178="",D178=""),0,IF(COUNTIFS($A$2:A178,A178,$D$2:D178,D178)=1,1,0))</f>
        <v/>
      </c>
    </row>
    <row r="179">
      <c r="A179" s="26" t="n"/>
      <c r="B179" s="27" t="n"/>
      <c r="C179" s="27" t="n"/>
      <c r="D179" s="28" t="n"/>
      <c r="E179" s="28" t="n"/>
      <c r="F179" s="29" t="n"/>
      <c r="G179" s="30" t="n"/>
      <c r="H179" s="20">
        <f>IF(A179="","",TRIM(IF(WEEKDAY(A179,2)&gt;5,"Fin de semana. ","")&amp;IF(SUMIFS($G$2:$G$601,$A$2:$A$601,A179,$D$2:$D$601,D179)&gt;9,"Más de 9 h en el día. ","")&amp;IF(AND(B179&lt;&gt;"",C179&lt;&gt;"",C179&lt;B179),"Cruza la medianoche. ","")&amp;IF(LEN(TRIM(F179))&lt;15,"Sin descripción suficiente. ","")&amp;IF(AND(ISERROR(SEARCH("R-0",F179)),ISERROR(SEARCH("CU-",F179))),"Sin ticket. ","")&amp;IF(ISNA(MATCH(E179,Datos!$E$8:$E$22,0)),"Proyecto sin valor hora. ","")&amp;IF(ISNA(MATCH(D179,Datos!$A$8:$A$22,0)),"Persona fuera del equipo. ","")))</f>
        <v/>
      </c>
      <c r="I179" s="21" t="n"/>
      <c r="J179" s="22" t="n"/>
      <c r="K179" s="23">
        <f>IF(G179="","",IF(J179&lt;&gt;"",MIN(J179,G179),IF(OR(I179="Observada",I179="Rechazada"),0,G179)))</f>
        <v/>
      </c>
      <c r="L179" s="24" t="n"/>
      <c r="M179" s="25">
        <f>IF(OR(A179="",D179=""),0,IF(COUNTIFS($A$2:A179,A179,$D$2:D179,D179)=1,1,0))</f>
        <v/>
      </c>
    </row>
    <row r="180">
      <c r="A180" s="26" t="n"/>
      <c r="B180" s="27" t="n"/>
      <c r="C180" s="27" t="n"/>
      <c r="D180" s="28" t="n"/>
      <c r="E180" s="28" t="n"/>
      <c r="F180" s="29" t="n"/>
      <c r="G180" s="30" t="n"/>
      <c r="H180" s="20">
        <f>IF(A180="","",TRIM(IF(WEEKDAY(A180,2)&gt;5,"Fin de semana. ","")&amp;IF(SUMIFS($G$2:$G$601,$A$2:$A$601,A180,$D$2:$D$601,D180)&gt;9,"Más de 9 h en el día. ","")&amp;IF(AND(B180&lt;&gt;"",C180&lt;&gt;"",C180&lt;B180),"Cruza la medianoche. ","")&amp;IF(LEN(TRIM(F180))&lt;15,"Sin descripción suficiente. ","")&amp;IF(AND(ISERROR(SEARCH("R-0",F180)),ISERROR(SEARCH("CU-",F180))),"Sin ticket. ","")&amp;IF(ISNA(MATCH(E180,Datos!$E$8:$E$22,0)),"Proyecto sin valor hora. ","")&amp;IF(ISNA(MATCH(D180,Datos!$A$8:$A$22,0)),"Persona fuera del equipo. ","")))</f>
        <v/>
      </c>
      <c r="I180" s="21" t="n"/>
      <c r="J180" s="22" t="n"/>
      <c r="K180" s="23">
        <f>IF(G180="","",IF(J180&lt;&gt;"",MIN(J180,G180),IF(OR(I180="Observada",I180="Rechazada"),0,G180)))</f>
        <v/>
      </c>
      <c r="L180" s="24" t="n"/>
      <c r="M180" s="25">
        <f>IF(OR(A180="",D180=""),0,IF(COUNTIFS($A$2:A180,A180,$D$2:D180,D180)=1,1,0))</f>
        <v/>
      </c>
    </row>
    <row r="181">
      <c r="A181" s="26" t="n"/>
      <c r="B181" s="27" t="n"/>
      <c r="C181" s="27" t="n"/>
      <c r="D181" s="28" t="n"/>
      <c r="E181" s="28" t="n"/>
      <c r="F181" s="29" t="n"/>
      <c r="G181" s="30" t="n"/>
      <c r="H181" s="20">
        <f>IF(A181="","",TRIM(IF(WEEKDAY(A181,2)&gt;5,"Fin de semana. ","")&amp;IF(SUMIFS($G$2:$G$601,$A$2:$A$601,A181,$D$2:$D$601,D181)&gt;9,"Más de 9 h en el día. ","")&amp;IF(AND(B181&lt;&gt;"",C181&lt;&gt;"",C181&lt;B181),"Cruza la medianoche. ","")&amp;IF(LEN(TRIM(F181))&lt;15,"Sin descripción suficiente. ","")&amp;IF(AND(ISERROR(SEARCH("R-0",F181)),ISERROR(SEARCH("CU-",F181))),"Sin ticket. ","")&amp;IF(ISNA(MATCH(E181,Datos!$E$8:$E$22,0)),"Proyecto sin valor hora. ","")&amp;IF(ISNA(MATCH(D181,Datos!$A$8:$A$22,0)),"Persona fuera del equipo. ","")))</f>
        <v/>
      </c>
      <c r="I181" s="21" t="n"/>
      <c r="J181" s="22" t="n"/>
      <c r="K181" s="23">
        <f>IF(G181="","",IF(J181&lt;&gt;"",MIN(J181,G181),IF(OR(I181="Observada",I181="Rechazada"),0,G181)))</f>
        <v/>
      </c>
      <c r="L181" s="24" t="n"/>
      <c r="M181" s="25">
        <f>IF(OR(A181="",D181=""),0,IF(COUNTIFS($A$2:A181,A181,$D$2:D181,D181)=1,1,0))</f>
        <v/>
      </c>
    </row>
    <row r="182">
      <c r="A182" s="26" t="n"/>
      <c r="B182" s="27" t="n"/>
      <c r="C182" s="27" t="n"/>
      <c r="D182" s="28" t="n"/>
      <c r="E182" s="28" t="n"/>
      <c r="F182" s="29" t="n"/>
      <c r="G182" s="30" t="n"/>
      <c r="H182" s="20">
        <f>IF(A182="","",TRIM(IF(WEEKDAY(A182,2)&gt;5,"Fin de semana. ","")&amp;IF(SUMIFS($G$2:$G$601,$A$2:$A$601,A182,$D$2:$D$601,D182)&gt;9,"Más de 9 h en el día. ","")&amp;IF(AND(B182&lt;&gt;"",C182&lt;&gt;"",C182&lt;B182),"Cruza la medianoche. ","")&amp;IF(LEN(TRIM(F182))&lt;15,"Sin descripción suficiente. ","")&amp;IF(AND(ISERROR(SEARCH("R-0",F182)),ISERROR(SEARCH("CU-",F182))),"Sin ticket. ","")&amp;IF(ISNA(MATCH(E182,Datos!$E$8:$E$22,0)),"Proyecto sin valor hora. ","")&amp;IF(ISNA(MATCH(D182,Datos!$A$8:$A$22,0)),"Persona fuera del equipo. ","")))</f>
        <v/>
      </c>
      <c r="I182" s="21" t="n"/>
      <c r="J182" s="22" t="n"/>
      <c r="K182" s="23">
        <f>IF(G182="","",IF(J182&lt;&gt;"",MIN(J182,G182),IF(OR(I182="Observada",I182="Rechazada"),0,G182)))</f>
        <v/>
      </c>
      <c r="L182" s="24" t="n"/>
      <c r="M182" s="25">
        <f>IF(OR(A182="",D182=""),0,IF(COUNTIFS($A$2:A182,A182,$D$2:D182,D182)=1,1,0))</f>
        <v/>
      </c>
    </row>
    <row r="183">
      <c r="A183" s="26" t="n"/>
      <c r="B183" s="27" t="n"/>
      <c r="C183" s="27" t="n"/>
      <c r="D183" s="28" t="n"/>
      <c r="E183" s="28" t="n"/>
      <c r="F183" s="29" t="n"/>
      <c r="G183" s="30" t="n"/>
      <c r="H183" s="20">
        <f>IF(A183="","",TRIM(IF(WEEKDAY(A183,2)&gt;5,"Fin de semana. ","")&amp;IF(SUMIFS($G$2:$G$601,$A$2:$A$601,A183,$D$2:$D$601,D183)&gt;9,"Más de 9 h en el día. ","")&amp;IF(AND(B183&lt;&gt;"",C183&lt;&gt;"",C183&lt;B183),"Cruza la medianoche. ","")&amp;IF(LEN(TRIM(F183))&lt;15,"Sin descripción suficiente. ","")&amp;IF(AND(ISERROR(SEARCH("R-0",F183)),ISERROR(SEARCH("CU-",F183))),"Sin ticket. ","")&amp;IF(ISNA(MATCH(E183,Datos!$E$8:$E$22,0)),"Proyecto sin valor hora. ","")&amp;IF(ISNA(MATCH(D183,Datos!$A$8:$A$22,0)),"Persona fuera del equipo. ","")))</f>
        <v/>
      </c>
      <c r="I183" s="21" t="n"/>
      <c r="J183" s="22" t="n"/>
      <c r="K183" s="23">
        <f>IF(G183="","",IF(J183&lt;&gt;"",MIN(J183,G183),IF(OR(I183="Observada",I183="Rechazada"),0,G183)))</f>
        <v/>
      </c>
      <c r="L183" s="24" t="n"/>
      <c r="M183" s="25">
        <f>IF(OR(A183="",D183=""),0,IF(COUNTIFS($A$2:A183,A183,$D$2:D183,D183)=1,1,0))</f>
        <v/>
      </c>
    </row>
    <row r="184">
      <c r="A184" s="26" t="n"/>
      <c r="B184" s="27" t="n"/>
      <c r="C184" s="27" t="n"/>
      <c r="D184" s="28" t="n"/>
      <c r="E184" s="28" t="n"/>
      <c r="F184" s="29" t="n"/>
      <c r="G184" s="30" t="n"/>
      <c r="H184" s="20">
        <f>IF(A184="","",TRIM(IF(WEEKDAY(A184,2)&gt;5,"Fin de semana. ","")&amp;IF(SUMIFS($G$2:$G$601,$A$2:$A$601,A184,$D$2:$D$601,D184)&gt;9,"Más de 9 h en el día. ","")&amp;IF(AND(B184&lt;&gt;"",C184&lt;&gt;"",C184&lt;B184),"Cruza la medianoche. ","")&amp;IF(LEN(TRIM(F184))&lt;15,"Sin descripción suficiente. ","")&amp;IF(AND(ISERROR(SEARCH("R-0",F184)),ISERROR(SEARCH("CU-",F184))),"Sin ticket. ","")&amp;IF(ISNA(MATCH(E184,Datos!$E$8:$E$22,0)),"Proyecto sin valor hora. ","")&amp;IF(ISNA(MATCH(D184,Datos!$A$8:$A$22,0)),"Persona fuera del equipo. ","")))</f>
        <v/>
      </c>
      <c r="I184" s="21" t="n"/>
      <c r="J184" s="22" t="n"/>
      <c r="K184" s="23">
        <f>IF(G184="","",IF(J184&lt;&gt;"",MIN(J184,G184),IF(OR(I184="Observada",I184="Rechazada"),0,G184)))</f>
        <v/>
      </c>
      <c r="L184" s="24" t="n"/>
      <c r="M184" s="25">
        <f>IF(OR(A184="",D184=""),0,IF(COUNTIFS($A$2:A184,A184,$D$2:D184,D184)=1,1,0))</f>
        <v/>
      </c>
    </row>
    <row r="185">
      <c r="A185" s="26" t="n"/>
      <c r="B185" s="27" t="n"/>
      <c r="C185" s="27" t="n"/>
      <c r="D185" s="28" t="n"/>
      <c r="E185" s="28" t="n"/>
      <c r="F185" s="29" t="n"/>
      <c r="G185" s="30" t="n"/>
      <c r="H185" s="20">
        <f>IF(A185="","",TRIM(IF(WEEKDAY(A185,2)&gt;5,"Fin de semana. ","")&amp;IF(SUMIFS($G$2:$G$601,$A$2:$A$601,A185,$D$2:$D$601,D185)&gt;9,"Más de 9 h en el día. ","")&amp;IF(AND(B185&lt;&gt;"",C185&lt;&gt;"",C185&lt;B185),"Cruza la medianoche. ","")&amp;IF(LEN(TRIM(F185))&lt;15,"Sin descripción suficiente. ","")&amp;IF(AND(ISERROR(SEARCH("R-0",F185)),ISERROR(SEARCH("CU-",F185))),"Sin ticket. ","")&amp;IF(ISNA(MATCH(E185,Datos!$E$8:$E$22,0)),"Proyecto sin valor hora. ","")&amp;IF(ISNA(MATCH(D185,Datos!$A$8:$A$22,0)),"Persona fuera del equipo. ","")))</f>
        <v/>
      </c>
      <c r="I185" s="21" t="n"/>
      <c r="J185" s="22" t="n"/>
      <c r="K185" s="23">
        <f>IF(G185="","",IF(J185&lt;&gt;"",MIN(J185,G185),IF(OR(I185="Observada",I185="Rechazada"),0,G185)))</f>
        <v/>
      </c>
      <c r="L185" s="24" t="n"/>
      <c r="M185" s="25">
        <f>IF(OR(A185="",D185=""),0,IF(COUNTIFS($A$2:A185,A185,$D$2:D185,D185)=1,1,0))</f>
        <v/>
      </c>
    </row>
    <row r="186">
      <c r="A186" s="26" t="n"/>
      <c r="B186" s="27" t="n"/>
      <c r="C186" s="27" t="n"/>
      <c r="D186" s="28" t="n"/>
      <c r="E186" s="28" t="n"/>
      <c r="F186" s="29" t="n"/>
      <c r="G186" s="30" t="n"/>
      <c r="H186" s="20">
        <f>IF(A186="","",TRIM(IF(WEEKDAY(A186,2)&gt;5,"Fin de semana. ","")&amp;IF(SUMIFS($G$2:$G$601,$A$2:$A$601,A186,$D$2:$D$601,D186)&gt;9,"Más de 9 h en el día. ","")&amp;IF(AND(B186&lt;&gt;"",C186&lt;&gt;"",C186&lt;B186),"Cruza la medianoche. ","")&amp;IF(LEN(TRIM(F186))&lt;15,"Sin descripción suficiente. ","")&amp;IF(AND(ISERROR(SEARCH("R-0",F186)),ISERROR(SEARCH("CU-",F186))),"Sin ticket. ","")&amp;IF(ISNA(MATCH(E186,Datos!$E$8:$E$22,0)),"Proyecto sin valor hora. ","")&amp;IF(ISNA(MATCH(D186,Datos!$A$8:$A$22,0)),"Persona fuera del equipo. ","")))</f>
        <v/>
      </c>
      <c r="I186" s="21" t="n"/>
      <c r="J186" s="22" t="n"/>
      <c r="K186" s="23">
        <f>IF(G186="","",IF(J186&lt;&gt;"",MIN(J186,G186),IF(OR(I186="Observada",I186="Rechazada"),0,G186)))</f>
        <v/>
      </c>
      <c r="L186" s="24" t="n"/>
      <c r="M186" s="25">
        <f>IF(OR(A186="",D186=""),0,IF(COUNTIFS($A$2:A186,A186,$D$2:D186,D186)=1,1,0))</f>
        <v/>
      </c>
    </row>
    <row r="187">
      <c r="A187" s="26" t="n"/>
      <c r="B187" s="27" t="n"/>
      <c r="C187" s="27" t="n"/>
      <c r="D187" s="28" t="n"/>
      <c r="E187" s="28" t="n"/>
      <c r="F187" s="29" t="n"/>
      <c r="G187" s="30" t="n"/>
      <c r="H187" s="20">
        <f>IF(A187="","",TRIM(IF(WEEKDAY(A187,2)&gt;5,"Fin de semana. ","")&amp;IF(SUMIFS($G$2:$G$601,$A$2:$A$601,A187,$D$2:$D$601,D187)&gt;9,"Más de 9 h en el día. ","")&amp;IF(AND(B187&lt;&gt;"",C187&lt;&gt;"",C187&lt;B187),"Cruza la medianoche. ","")&amp;IF(LEN(TRIM(F187))&lt;15,"Sin descripción suficiente. ","")&amp;IF(AND(ISERROR(SEARCH("R-0",F187)),ISERROR(SEARCH("CU-",F187))),"Sin ticket. ","")&amp;IF(ISNA(MATCH(E187,Datos!$E$8:$E$22,0)),"Proyecto sin valor hora. ","")&amp;IF(ISNA(MATCH(D187,Datos!$A$8:$A$22,0)),"Persona fuera del equipo. ","")))</f>
        <v/>
      </c>
      <c r="I187" s="21" t="n"/>
      <c r="J187" s="22" t="n"/>
      <c r="K187" s="23">
        <f>IF(G187="","",IF(J187&lt;&gt;"",MIN(J187,G187),IF(OR(I187="Observada",I187="Rechazada"),0,G187)))</f>
        <v/>
      </c>
      <c r="L187" s="24" t="n"/>
      <c r="M187" s="25">
        <f>IF(OR(A187="",D187=""),0,IF(COUNTIFS($A$2:A187,A187,$D$2:D187,D187)=1,1,0))</f>
        <v/>
      </c>
    </row>
    <row r="188">
      <c r="A188" s="26" t="n"/>
      <c r="B188" s="27" t="n"/>
      <c r="C188" s="27" t="n"/>
      <c r="D188" s="28" t="n"/>
      <c r="E188" s="28" t="n"/>
      <c r="F188" s="29" t="n"/>
      <c r="G188" s="30" t="n"/>
      <c r="H188" s="20">
        <f>IF(A188="","",TRIM(IF(WEEKDAY(A188,2)&gt;5,"Fin de semana. ","")&amp;IF(SUMIFS($G$2:$G$601,$A$2:$A$601,A188,$D$2:$D$601,D188)&gt;9,"Más de 9 h en el día. ","")&amp;IF(AND(B188&lt;&gt;"",C188&lt;&gt;"",C188&lt;B188),"Cruza la medianoche. ","")&amp;IF(LEN(TRIM(F188))&lt;15,"Sin descripción suficiente. ","")&amp;IF(AND(ISERROR(SEARCH("R-0",F188)),ISERROR(SEARCH("CU-",F188))),"Sin ticket. ","")&amp;IF(ISNA(MATCH(E188,Datos!$E$8:$E$22,0)),"Proyecto sin valor hora. ","")&amp;IF(ISNA(MATCH(D188,Datos!$A$8:$A$22,0)),"Persona fuera del equipo. ","")))</f>
        <v/>
      </c>
      <c r="I188" s="21" t="n"/>
      <c r="J188" s="22" t="n"/>
      <c r="K188" s="23">
        <f>IF(G188="","",IF(J188&lt;&gt;"",MIN(J188,G188),IF(OR(I188="Observada",I188="Rechazada"),0,G188)))</f>
        <v/>
      </c>
      <c r="L188" s="24" t="n"/>
      <c r="M188" s="25">
        <f>IF(OR(A188="",D188=""),0,IF(COUNTIFS($A$2:A188,A188,$D$2:D188,D188)=1,1,0))</f>
        <v/>
      </c>
    </row>
    <row r="189">
      <c r="A189" s="26" t="n"/>
      <c r="B189" s="27" t="n"/>
      <c r="C189" s="27" t="n"/>
      <c r="D189" s="28" t="n"/>
      <c r="E189" s="28" t="n"/>
      <c r="F189" s="29" t="n"/>
      <c r="G189" s="30" t="n"/>
      <c r="H189" s="20">
        <f>IF(A189="","",TRIM(IF(WEEKDAY(A189,2)&gt;5,"Fin de semana. ","")&amp;IF(SUMIFS($G$2:$G$601,$A$2:$A$601,A189,$D$2:$D$601,D189)&gt;9,"Más de 9 h en el día. ","")&amp;IF(AND(B189&lt;&gt;"",C189&lt;&gt;"",C189&lt;B189),"Cruza la medianoche. ","")&amp;IF(LEN(TRIM(F189))&lt;15,"Sin descripción suficiente. ","")&amp;IF(AND(ISERROR(SEARCH("R-0",F189)),ISERROR(SEARCH("CU-",F189))),"Sin ticket. ","")&amp;IF(ISNA(MATCH(E189,Datos!$E$8:$E$22,0)),"Proyecto sin valor hora. ","")&amp;IF(ISNA(MATCH(D189,Datos!$A$8:$A$22,0)),"Persona fuera del equipo. ","")))</f>
        <v/>
      </c>
      <c r="I189" s="21" t="n"/>
      <c r="J189" s="22" t="n"/>
      <c r="K189" s="23">
        <f>IF(G189="","",IF(J189&lt;&gt;"",MIN(J189,G189),IF(OR(I189="Observada",I189="Rechazada"),0,G189)))</f>
        <v/>
      </c>
      <c r="L189" s="24" t="n"/>
      <c r="M189" s="25">
        <f>IF(OR(A189="",D189=""),0,IF(COUNTIFS($A$2:A189,A189,$D$2:D189,D189)=1,1,0))</f>
        <v/>
      </c>
    </row>
    <row r="190">
      <c r="A190" s="26" t="n"/>
      <c r="B190" s="27" t="n"/>
      <c r="C190" s="27" t="n"/>
      <c r="D190" s="28" t="n"/>
      <c r="E190" s="28" t="n"/>
      <c r="F190" s="29" t="n"/>
      <c r="G190" s="30" t="n"/>
      <c r="H190" s="20">
        <f>IF(A190="","",TRIM(IF(WEEKDAY(A190,2)&gt;5,"Fin de semana. ","")&amp;IF(SUMIFS($G$2:$G$601,$A$2:$A$601,A190,$D$2:$D$601,D190)&gt;9,"Más de 9 h en el día. ","")&amp;IF(AND(B190&lt;&gt;"",C190&lt;&gt;"",C190&lt;B190),"Cruza la medianoche. ","")&amp;IF(LEN(TRIM(F190))&lt;15,"Sin descripción suficiente. ","")&amp;IF(AND(ISERROR(SEARCH("R-0",F190)),ISERROR(SEARCH("CU-",F190))),"Sin ticket. ","")&amp;IF(ISNA(MATCH(E190,Datos!$E$8:$E$22,0)),"Proyecto sin valor hora. ","")&amp;IF(ISNA(MATCH(D190,Datos!$A$8:$A$22,0)),"Persona fuera del equipo. ","")))</f>
        <v/>
      </c>
      <c r="I190" s="21" t="n"/>
      <c r="J190" s="22" t="n"/>
      <c r="K190" s="23">
        <f>IF(G190="","",IF(J190&lt;&gt;"",MIN(J190,G190),IF(OR(I190="Observada",I190="Rechazada"),0,G190)))</f>
        <v/>
      </c>
      <c r="L190" s="24" t="n"/>
      <c r="M190" s="25">
        <f>IF(OR(A190="",D190=""),0,IF(COUNTIFS($A$2:A190,A190,$D$2:D190,D190)=1,1,0))</f>
        <v/>
      </c>
    </row>
    <row r="191">
      <c r="A191" s="26" t="n"/>
      <c r="B191" s="27" t="n"/>
      <c r="C191" s="27" t="n"/>
      <c r="D191" s="28" t="n"/>
      <c r="E191" s="28" t="n"/>
      <c r="F191" s="29" t="n"/>
      <c r="G191" s="30" t="n"/>
      <c r="H191" s="20">
        <f>IF(A191="","",TRIM(IF(WEEKDAY(A191,2)&gt;5,"Fin de semana. ","")&amp;IF(SUMIFS($G$2:$G$601,$A$2:$A$601,A191,$D$2:$D$601,D191)&gt;9,"Más de 9 h en el día. ","")&amp;IF(AND(B191&lt;&gt;"",C191&lt;&gt;"",C191&lt;B191),"Cruza la medianoche. ","")&amp;IF(LEN(TRIM(F191))&lt;15,"Sin descripción suficiente. ","")&amp;IF(AND(ISERROR(SEARCH("R-0",F191)),ISERROR(SEARCH("CU-",F191))),"Sin ticket. ","")&amp;IF(ISNA(MATCH(E191,Datos!$E$8:$E$22,0)),"Proyecto sin valor hora. ","")&amp;IF(ISNA(MATCH(D191,Datos!$A$8:$A$22,0)),"Persona fuera del equipo. ","")))</f>
        <v/>
      </c>
      <c r="I191" s="21" t="n"/>
      <c r="J191" s="22" t="n"/>
      <c r="K191" s="23">
        <f>IF(G191="","",IF(J191&lt;&gt;"",MIN(J191,G191),IF(OR(I191="Observada",I191="Rechazada"),0,G191)))</f>
        <v/>
      </c>
      <c r="L191" s="24" t="n"/>
      <c r="M191" s="25">
        <f>IF(OR(A191="",D191=""),0,IF(COUNTIFS($A$2:A191,A191,$D$2:D191,D191)=1,1,0))</f>
        <v/>
      </c>
    </row>
    <row r="192">
      <c r="A192" s="26" t="n"/>
      <c r="B192" s="27" t="n"/>
      <c r="C192" s="27" t="n"/>
      <c r="D192" s="28" t="n"/>
      <c r="E192" s="28" t="n"/>
      <c r="F192" s="29" t="n"/>
      <c r="G192" s="30" t="n"/>
      <c r="H192" s="20">
        <f>IF(A192="","",TRIM(IF(WEEKDAY(A192,2)&gt;5,"Fin de semana. ","")&amp;IF(SUMIFS($G$2:$G$601,$A$2:$A$601,A192,$D$2:$D$601,D192)&gt;9,"Más de 9 h en el día. ","")&amp;IF(AND(B192&lt;&gt;"",C192&lt;&gt;"",C192&lt;B192),"Cruza la medianoche. ","")&amp;IF(LEN(TRIM(F192))&lt;15,"Sin descripción suficiente. ","")&amp;IF(AND(ISERROR(SEARCH("R-0",F192)),ISERROR(SEARCH("CU-",F192))),"Sin ticket. ","")&amp;IF(ISNA(MATCH(E192,Datos!$E$8:$E$22,0)),"Proyecto sin valor hora. ","")&amp;IF(ISNA(MATCH(D192,Datos!$A$8:$A$22,0)),"Persona fuera del equipo. ","")))</f>
        <v/>
      </c>
      <c r="I192" s="21" t="n"/>
      <c r="J192" s="22" t="n"/>
      <c r="K192" s="23">
        <f>IF(G192="","",IF(J192&lt;&gt;"",MIN(J192,G192),IF(OR(I192="Observada",I192="Rechazada"),0,G192)))</f>
        <v/>
      </c>
      <c r="L192" s="24" t="n"/>
      <c r="M192" s="25">
        <f>IF(OR(A192="",D192=""),0,IF(COUNTIFS($A$2:A192,A192,$D$2:D192,D192)=1,1,0))</f>
        <v/>
      </c>
    </row>
    <row r="193">
      <c r="A193" s="26" t="n"/>
      <c r="B193" s="27" t="n"/>
      <c r="C193" s="27" t="n"/>
      <c r="D193" s="28" t="n"/>
      <c r="E193" s="28" t="n"/>
      <c r="F193" s="29" t="n"/>
      <c r="G193" s="30" t="n"/>
      <c r="H193" s="20">
        <f>IF(A193="","",TRIM(IF(WEEKDAY(A193,2)&gt;5,"Fin de semana. ","")&amp;IF(SUMIFS($G$2:$G$601,$A$2:$A$601,A193,$D$2:$D$601,D193)&gt;9,"Más de 9 h en el día. ","")&amp;IF(AND(B193&lt;&gt;"",C193&lt;&gt;"",C193&lt;B193),"Cruza la medianoche. ","")&amp;IF(LEN(TRIM(F193))&lt;15,"Sin descripción suficiente. ","")&amp;IF(AND(ISERROR(SEARCH("R-0",F193)),ISERROR(SEARCH("CU-",F193))),"Sin ticket. ","")&amp;IF(ISNA(MATCH(E193,Datos!$E$8:$E$22,0)),"Proyecto sin valor hora. ","")&amp;IF(ISNA(MATCH(D193,Datos!$A$8:$A$22,0)),"Persona fuera del equipo. ","")))</f>
        <v/>
      </c>
      <c r="I193" s="21" t="n"/>
      <c r="J193" s="22" t="n"/>
      <c r="K193" s="23">
        <f>IF(G193="","",IF(J193&lt;&gt;"",MIN(J193,G193),IF(OR(I193="Observada",I193="Rechazada"),0,G193)))</f>
        <v/>
      </c>
      <c r="L193" s="24" t="n"/>
      <c r="M193" s="25">
        <f>IF(OR(A193="",D193=""),0,IF(COUNTIFS($A$2:A193,A193,$D$2:D193,D193)=1,1,0))</f>
        <v/>
      </c>
    </row>
    <row r="194">
      <c r="A194" s="26" t="n"/>
      <c r="B194" s="27" t="n"/>
      <c r="C194" s="27" t="n"/>
      <c r="D194" s="28" t="n"/>
      <c r="E194" s="28" t="n"/>
      <c r="F194" s="29" t="n"/>
      <c r="G194" s="30" t="n"/>
      <c r="H194" s="20">
        <f>IF(A194="","",TRIM(IF(WEEKDAY(A194,2)&gt;5,"Fin de semana. ","")&amp;IF(SUMIFS($G$2:$G$601,$A$2:$A$601,A194,$D$2:$D$601,D194)&gt;9,"Más de 9 h en el día. ","")&amp;IF(AND(B194&lt;&gt;"",C194&lt;&gt;"",C194&lt;B194),"Cruza la medianoche. ","")&amp;IF(LEN(TRIM(F194))&lt;15,"Sin descripción suficiente. ","")&amp;IF(AND(ISERROR(SEARCH("R-0",F194)),ISERROR(SEARCH("CU-",F194))),"Sin ticket. ","")&amp;IF(ISNA(MATCH(E194,Datos!$E$8:$E$22,0)),"Proyecto sin valor hora. ","")&amp;IF(ISNA(MATCH(D194,Datos!$A$8:$A$22,0)),"Persona fuera del equipo. ","")))</f>
        <v/>
      </c>
      <c r="I194" s="21" t="n"/>
      <c r="J194" s="22" t="n"/>
      <c r="K194" s="23">
        <f>IF(G194="","",IF(J194&lt;&gt;"",MIN(J194,G194),IF(OR(I194="Observada",I194="Rechazada"),0,G194)))</f>
        <v/>
      </c>
      <c r="L194" s="24" t="n"/>
      <c r="M194" s="25">
        <f>IF(OR(A194="",D194=""),0,IF(COUNTIFS($A$2:A194,A194,$D$2:D194,D194)=1,1,0))</f>
        <v/>
      </c>
    </row>
    <row r="195">
      <c r="A195" s="26" t="n"/>
      <c r="B195" s="27" t="n"/>
      <c r="C195" s="27" t="n"/>
      <c r="D195" s="28" t="n"/>
      <c r="E195" s="28" t="n"/>
      <c r="F195" s="29" t="n"/>
      <c r="G195" s="30" t="n"/>
      <c r="H195" s="20">
        <f>IF(A195="","",TRIM(IF(WEEKDAY(A195,2)&gt;5,"Fin de semana. ","")&amp;IF(SUMIFS($G$2:$G$601,$A$2:$A$601,A195,$D$2:$D$601,D195)&gt;9,"Más de 9 h en el día. ","")&amp;IF(AND(B195&lt;&gt;"",C195&lt;&gt;"",C195&lt;B195),"Cruza la medianoche. ","")&amp;IF(LEN(TRIM(F195))&lt;15,"Sin descripción suficiente. ","")&amp;IF(AND(ISERROR(SEARCH("R-0",F195)),ISERROR(SEARCH("CU-",F195))),"Sin ticket. ","")&amp;IF(ISNA(MATCH(E195,Datos!$E$8:$E$22,0)),"Proyecto sin valor hora. ","")&amp;IF(ISNA(MATCH(D195,Datos!$A$8:$A$22,0)),"Persona fuera del equipo. ","")))</f>
        <v/>
      </c>
      <c r="I195" s="21" t="n"/>
      <c r="J195" s="22" t="n"/>
      <c r="K195" s="23">
        <f>IF(G195="","",IF(J195&lt;&gt;"",MIN(J195,G195),IF(OR(I195="Observada",I195="Rechazada"),0,G195)))</f>
        <v/>
      </c>
      <c r="L195" s="24" t="n"/>
      <c r="M195" s="25">
        <f>IF(OR(A195="",D195=""),0,IF(COUNTIFS($A$2:A195,A195,$D$2:D195,D195)=1,1,0))</f>
        <v/>
      </c>
    </row>
    <row r="196">
      <c r="A196" s="26" t="n"/>
      <c r="B196" s="27" t="n"/>
      <c r="C196" s="27" t="n"/>
      <c r="D196" s="28" t="n"/>
      <c r="E196" s="28" t="n"/>
      <c r="F196" s="29" t="n"/>
      <c r="G196" s="30" t="n"/>
      <c r="H196" s="20">
        <f>IF(A196="","",TRIM(IF(WEEKDAY(A196,2)&gt;5,"Fin de semana. ","")&amp;IF(SUMIFS($G$2:$G$601,$A$2:$A$601,A196,$D$2:$D$601,D196)&gt;9,"Más de 9 h en el día. ","")&amp;IF(AND(B196&lt;&gt;"",C196&lt;&gt;"",C196&lt;B196),"Cruza la medianoche. ","")&amp;IF(LEN(TRIM(F196))&lt;15,"Sin descripción suficiente. ","")&amp;IF(AND(ISERROR(SEARCH("R-0",F196)),ISERROR(SEARCH("CU-",F196))),"Sin ticket. ","")&amp;IF(ISNA(MATCH(E196,Datos!$E$8:$E$22,0)),"Proyecto sin valor hora. ","")&amp;IF(ISNA(MATCH(D196,Datos!$A$8:$A$22,0)),"Persona fuera del equipo. ","")))</f>
        <v/>
      </c>
      <c r="I196" s="21" t="n"/>
      <c r="J196" s="22" t="n"/>
      <c r="K196" s="23">
        <f>IF(G196="","",IF(J196&lt;&gt;"",MIN(J196,G196),IF(OR(I196="Observada",I196="Rechazada"),0,G196)))</f>
        <v/>
      </c>
      <c r="L196" s="24" t="n"/>
      <c r="M196" s="25">
        <f>IF(OR(A196="",D196=""),0,IF(COUNTIFS($A$2:A196,A196,$D$2:D196,D196)=1,1,0))</f>
        <v/>
      </c>
    </row>
    <row r="197">
      <c r="A197" s="26" t="n"/>
      <c r="B197" s="27" t="n"/>
      <c r="C197" s="27" t="n"/>
      <c r="D197" s="28" t="n"/>
      <c r="E197" s="28" t="n"/>
      <c r="F197" s="29" t="n"/>
      <c r="G197" s="30" t="n"/>
      <c r="H197" s="20">
        <f>IF(A197="","",TRIM(IF(WEEKDAY(A197,2)&gt;5,"Fin de semana. ","")&amp;IF(SUMIFS($G$2:$G$601,$A$2:$A$601,A197,$D$2:$D$601,D197)&gt;9,"Más de 9 h en el día. ","")&amp;IF(AND(B197&lt;&gt;"",C197&lt;&gt;"",C197&lt;B197),"Cruza la medianoche. ","")&amp;IF(LEN(TRIM(F197))&lt;15,"Sin descripción suficiente. ","")&amp;IF(AND(ISERROR(SEARCH("R-0",F197)),ISERROR(SEARCH("CU-",F197))),"Sin ticket. ","")&amp;IF(ISNA(MATCH(E197,Datos!$E$8:$E$22,0)),"Proyecto sin valor hora. ","")&amp;IF(ISNA(MATCH(D197,Datos!$A$8:$A$22,0)),"Persona fuera del equipo. ","")))</f>
        <v/>
      </c>
      <c r="I197" s="21" t="n"/>
      <c r="J197" s="22" t="n"/>
      <c r="K197" s="23">
        <f>IF(G197="","",IF(J197&lt;&gt;"",MIN(J197,G197),IF(OR(I197="Observada",I197="Rechazada"),0,G197)))</f>
        <v/>
      </c>
      <c r="L197" s="24" t="n"/>
      <c r="M197" s="25">
        <f>IF(OR(A197="",D197=""),0,IF(COUNTIFS($A$2:A197,A197,$D$2:D197,D197)=1,1,0))</f>
        <v/>
      </c>
    </row>
    <row r="198">
      <c r="A198" s="26" t="n"/>
      <c r="B198" s="27" t="n"/>
      <c r="C198" s="27" t="n"/>
      <c r="D198" s="28" t="n"/>
      <c r="E198" s="28" t="n"/>
      <c r="F198" s="29" t="n"/>
      <c r="G198" s="30" t="n"/>
      <c r="H198" s="20">
        <f>IF(A198="","",TRIM(IF(WEEKDAY(A198,2)&gt;5,"Fin de semana. ","")&amp;IF(SUMIFS($G$2:$G$601,$A$2:$A$601,A198,$D$2:$D$601,D198)&gt;9,"Más de 9 h en el día. ","")&amp;IF(AND(B198&lt;&gt;"",C198&lt;&gt;"",C198&lt;B198),"Cruza la medianoche. ","")&amp;IF(LEN(TRIM(F198))&lt;15,"Sin descripción suficiente. ","")&amp;IF(AND(ISERROR(SEARCH("R-0",F198)),ISERROR(SEARCH("CU-",F198))),"Sin ticket. ","")&amp;IF(ISNA(MATCH(E198,Datos!$E$8:$E$22,0)),"Proyecto sin valor hora. ","")&amp;IF(ISNA(MATCH(D198,Datos!$A$8:$A$22,0)),"Persona fuera del equipo. ","")))</f>
        <v/>
      </c>
      <c r="I198" s="21" t="n"/>
      <c r="J198" s="22" t="n"/>
      <c r="K198" s="23">
        <f>IF(G198="","",IF(J198&lt;&gt;"",MIN(J198,G198),IF(OR(I198="Observada",I198="Rechazada"),0,G198)))</f>
        <v/>
      </c>
      <c r="L198" s="24" t="n"/>
      <c r="M198" s="25">
        <f>IF(OR(A198="",D198=""),0,IF(COUNTIFS($A$2:A198,A198,$D$2:D198,D198)=1,1,0))</f>
        <v/>
      </c>
    </row>
    <row r="199">
      <c r="A199" s="26" t="n"/>
      <c r="B199" s="27" t="n"/>
      <c r="C199" s="27" t="n"/>
      <c r="D199" s="28" t="n"/>
      <c r="E199" s="28" t="n"/>
      <c r="F199" s="29" t="n"/>
      <c r="G199" s="30" t="n"/>
      <c r="H199" s="20">
        <f>IF(A199="","",TRIM(IF(WEEKDAY(A199,2)&gt;5,"Fin de semana. ","")&amp;IF(SUMIFS($G$2:$G$601,$A$2:$A$601,A199,$D$2:$D$601,D199)&gt;9,"Más de 9 h en el día. ","")&amp;IF(AND(B199&lt;&gt;"",C199&lt;&gt;"",C199&lt;B199),"Cruza la medianoche. ","")&amp;IF(LEN(TRIM(F199))&lt;15,"Sin descripción suficiente. ","")&amp;IF(AND(ISERROR(SEARCH("R-0",F199)),ISERROR(SEARCH("CU-",F199))),"Sin ticket. ","")&amp;IF(ISNA(MATCH(E199,Datos!$E$8:$E$22,0)),"Proyecto sin valor hora. ","")&amp;IF(ISNA(MATCH(D199,Datos!$A$8:$A$22,0)),"Persona fuera del equipo. ","")))</f>
        <v/>
      </c>
      <c r="I199" s="21" t="n"/>
      <c r="J199" s="22" t="n"/>
      <c r="K199" s="23">
        <f>IF(G199="","",IF(J199&lt;&gt;"",MIN(J199,G199),IF(OR(I199="Observada",I199="Rechazada"),0,G199)))</f>
        <v/>
      </c>
      <c r="L199" s="24" t="n"/>
      <c r="M199" s="25">
        <f>IF(OR(A199="",D199=""),0,IF(COUNTIFS($A$2:A199,A199,$D$2:D199,D199)=1,1,0))</f>
        <v/>
      </c>
    </row>
    <row r="200">
      <c r="A200" s="26" t="n"/>
      <c r="B200" s="27" t="n"/>
      <c r="C200" s="27" t="n"/>
      <c r="D200" s="28" t="n"/>
      <c r="E200" s="28" t="n"/>
      <c r="F200" s="29" t="n"/>
      <c r="G200" s="30" t="n"/>
      <c r="H200" s="20">
        <f>IF(A200="","",TRIM(IF(WEEKDAY(A200,2)&gt;5,"Fin de semana. ","")&amp;IF(SUMIFS($G$2:$G$601,$A$2:$A$601,A200,$D$2:$D$601,D200)&gt;9,"Más de 9 h en el día. ","")&amp;IF(AND(B200&lt;&gt;"",C200&lt;&gt;"",C200&lt;B200),"Cruza la medianoche. ","")&amp;IF(LEN(TRIM(F200))&lt;15,"Sin descripción suficiente. ","")&amp;IF(AND(ISERROR(SEARCH("R-0",F200)),ISERROR(SEARCH("CU-",F200))),"Sin ticket. ","")&amp;IF(ISNA(MATCH(E200,Datos!$E$8:$E$22,0)),"Proyecto sin valor hora. ","")&amp;IF(ISNA(MATCH(D200,Datos!$A$8:$A$22,0)),"Persona fuera del equipo. ","")))</f>
        <v/>
      </c>
      <c r="I200" s="21" t="n"/>
      <c r="J200" s="22" t="n"/>
      <c r="K200" s="23">
        <f>IF(G200="","",IF(J200&lt;&gt;"",MIN(J200,G200),IF(OR(I200="Observada",I200="Rechazada"),0,G200)))</f>
        <v/>
      </c>
      <c r="L200" s="24" t="n"/>
      <c r="M200" s="25">
        <f>IF(OR(A200="",D200=""),0,IF(COUNTIFS($A$2:A200,A200,$D$2:D200,D200)=1,1,0))</f>
        <v/>
      </c>
    </row>
    <row r="201">
      <c r="A201" s="26" t="n"/>
      <c r="B201" s="27" t="n"/>
      <c r="C201" s="27" t="n"/>
      <c r="D201" s="28" t="n"/>
      <c r="E201" s="28" t="n"/>
      <c r="F201" s="29" t="n"/>
      <c r="G201" s="30" t="n"/>
      <c r="H201" s="20">
        <f>IF(A201="","",TRIM(IF(WEEKDAY(A201,2)&gt;5,"Fin de semana. ","")&amp;IF(SUMIFS($G$2:$G$601,$A$2:$A$601,A201,$D$2:$D$601,D201)&gt;9,"Más de 9 h en el día. ","")&amp;IF(AND(B201&lt;&gt;"",C201&lt;&gt;"",C201&lt;B201),"Cruza la medianoche. ","")&amp;IF(LEN(TRIM(F201))&lt;15,"Sin descripción suficiente. ","")&amp;IF(AND(ISERROR(SEARCH("R-0",F201)),ISERROR(SEARCH("CU-",F201))),"Sin ticket. ","")&amp;IF(ISNA(MATCH(E201,Datos!$E$8:$E$22,0)),"Proyecto sin valor hora. ","")&amp;IF(ISNA(MATCH(D201,Datos!$A$8:$A$22,0)),"Persona fuera del equipo. ","")))</f>
        <v/>
      </c>
      <c r="I201" s="21" t="n"/>
      <c r="J201" s="22" t="n"/>
      <c r="K201" s="23">
        <f>IF(G201="","",IF(J201&lt;&gt;"",MIN(J201,G201),IF(OR(I201="Observada",I201="Rechazada"),0,G201)))</f>
        <v/>
      </c>
      <c r="L201" s="24" t="n"/>
      <c r="M201" s="25">
        <f>IF(OR(A201="",D201=""),0,IF(COUNTIFS($A$2:A201,A201,$D$2:D201,D201)=1,1,0))</f>
        <v/>
      </c>
    </row>
    <row r="202">
      <c r="A202" s="26" t="n"/>
      <c r="B202" s="27" t="n"/>
      <c r="C202" s="27" t="n"/>
      <c r="D202" s="28" t="n"/>
      <c r="E202" s="28" t="n"/>
      <c r="F202" s="29" t="n"/>
      <c r="G202" s="30" t="n"/>
      <c r="H202" s="20">
        <f>IF(A202="","",TRIM(IF(WEEKDAY(A202,2)&gt;5,"Fin de semana. ","")&amp;IF(SUMIFS($G$2:$G$601,$A$2:$A$601,A202,$D$2:$D$601,D202)&gt;9,"Más de 9 h en el día. ","")&amp;IF(AND(B202&lt;&gt;"",C202&lt;&gt;"",C202&lt;B202),"Cruza la medianoche. ","")&amp;IF(LEN(TRIM(F202))&lt;15,"Sin descripción suficiente. ","")&amp;IF(AND(ISERROR(SEARCH("R-0",F202)),ISERROR(SEARCH("CU-",F202))),"Sin ticket. ","")&amp;IF(ISNA(MATCH(E202,Datos!$E$8:$E$22,0)),"Proyecto sin valor hora. ","")&amp;IF(ISNA(MATCH(D202,Datos!$A$8:$A$22,0)),"Persona fuera del equipo. ","")))</f>
        <v/>
      </c>
      <c r="I202" s="21" t="n"/>
      <c r="J202" s="22" t="n"/>
      <c r="K202" s="23">
        <f>IF(G202="","",IF(J202&lt;&gt;"",MIN(J202,G202),IF(OR(I202="Observada",I202="Rechazada"),0,G202)))</f>
        <v/>
      </c>
      <c r="L202" s="24" t="n"/>
      <c r="M202" s="25">
        <f>IF(OR(A202="",D202=""),0,IF(COUNTIFS($A$2:A202,A202,$D$2:D202,D202)=1,1,0))</f>
        <v/>
      </c>
    </row>
    <row r="203">
      <c r="A203" s="26" t="n"/>
      <c r="B203" s="27" t="n"/>
      <c r="C203" s="27" t="n"/>
      <c r="D203" s="28" t="n"/>
      <c r="E203" s="28" t="n"/>
      <c r="F203" s="29" t="n"/>
      <c r="G203" s="30" t="n"/>
      <c r="H203" s="20">
        <f>IF(A203="","",TRIM(IF(WEEKDAY(A203,2)&gt;5,"Fin de semana. ","")&amp;IF(SUMIFS($G$2:$G$601,$A$2:$A$601,A203,$D$2:$D$601,D203)&gt;9,"Más de 9 h en el día. ","")&amp;IF(AND(B203&lt;&gt;"",C203&lt;&gt;"",C203&lt;B203),"Cruza la medianoche. ","")&amp;IF(LEN(TRIM(F203))&lt;15,"Sin descripción suficiente. ","")&amp;IF(AND(ISERROR(SEARCH("R-0",F203)),ISERROR(SEARCH("CU-",F203))),"Sin ticket. ","")&amp;IF(ISNA(MATCH(E203,Datos!$E$8:$E$22,0)),"Proyecto sin valor hora. ","")&amp;IF(ISNA(MATCH(D203,Datos!$A$8:$A$22,0)),"Persona fuera del equipo. ","")))</f>
        <v/>
      </c>
      <c r="I203" s="21" t="n"/>
      <c r="J203" s="22" t="n"/>
      <c r="K203" s="23">
        <f>IF(G203="","",IF(J203&lt;&gt;"",MIN(J203,G203),IF(OR(I203="Observada",I203="Rechazada"),0,G203)))</f>
        <v/>
      </c>
      <c r="L203" s="24" t="n"/>
      <c r="M203" s="25">
        <f>IF(OR(A203="",D203=""),0,IF(COUNTIFS($A$2:A203,A203,$D$2:D203,D203)=1,1,0))</f>
        <v/>
      </c>
    </row>
    <row r="204">
      <c r="A204" s="26" t="n"/>
      <c r="B204" s="27" t="n"/>
      <c r="C204" s="27" t="n"/>
      <c r="D204" s="28" t="n"/>
      <c r="E204" s="28" t="n"/>
      <c r="F204" s="29" t="n"/>
      <c r="G204" s="30" t="n"/>
      <c r="H204" s="20">
        <f>IF(A204="","",TRIM(IF(WEEKDAY(A204,2)&gt;5,"Fin de semana. ","")&amp;IF(SUMIFS($G$2:$G$601,$A$2:$A$601,A204,$D$2:$D$601,D204)&gt;9,"Más de 9 h en el día. ","")&amp;IF(AND(B204&lt;&gt;"",C204&lt;&gt;"",C204&lt;B204),"Cruza la medianoche. ","")&amp;IF(LEN(TRIM(F204))&lt;15,"Sin descripción suficiente. ","")&amp;IF(AND(ISERROR(SEARCH("R-0",F204)),ISERROR(SEARCH("CU-",F204))),"Sin ticket. ","")&amp;IF(ISNA(MATCH(E204,Datos!$E$8:$E$22,0)),"Proyecto sin valor hora. ","")&amp;IF(ISNA(MATCH(D204,Datos!$A$8:$A$22,0)),"Persona fuera del equipo. ","")))</f>
        <v/>
      </c>
      <c r="I204" s="21" t="n"/>
      <c r="J204" s="22" t="n"/>
      <c r="K204" s="23">
        <f>IF(G204="","",IF(J204&lt;&gt;"",MIN(J204,G204),IF(OR(I204="Observada",I204="Rechazada"),0,G204)))</f>
        <v/>
      </c>
      <c r="L204" s="24" t="n"/>
      <c r="M204" s="25">
        <f>IF(OR(A204="",D204=""),0,IF(COUNTIFS($A$2:A204,A204,$D$2:D204,D204)=1,1,0))</f>
        <v/>
      </c>
    </row>
    <row r="205">
      <c r="A205" s="26" t="n"/>
      <c r="B205" s="27" t="n"/>
      <c r="C205" s="27" t="n"/>
      <c r="D205" s="28" t="n"/>
      <c r="E205" s="28" t="n"/>
      <c r="F205" s="29" t="n"/>
      <c r="G205" s="30" t="n"/>
      <c r="H205" s="20">
        <f>IF(A205="","",TRIM(IF(WEEKDAY(A205,2)&gt;5,"Fin de semana. ","")&amp;IF(SUMIFS($G$2:$G$601,$A$2:$A$601,A205,$D$2:$D$601,D205)&gt;9,"Más de 9 h en el día. ","")&amp;IF(AND(B205&lt;&gt;"",C205&lt;&gt;"",C205&lt;B205),"Cruza la medianoche. ","")&amp;IF(LEN(TRIM(F205))&lt;15,"Sin descripción suficiente. ","")&amp;IF(AND(ISERROR(SEARCH("R-0",F205)),ISERROR(SEARCH("CU-",F205))),"Sin ticket. ","")&amp;IF(ISNA(MATCH(E205,Datos!$E$8:$E$22,0)),"Proyecto sin valor hora. ","")&amp;IF(ISNA(MATCH(D205,Datos!$A$8:$A$22,0)),"Persona fuera del equipo. ","")))</f>
        <v/>
      </c>
      <c r="I205" s="21" t="n"/>
      <c r="J205" s="22" t="n"/>
      <c r="K205" s="23">
        <f>IF(G205="","",IF(J205&lt;&gt;"",MIN(J205,G205),IF(OR(I205="Observada",I205="Rechazada"),0,G205)))</f>
        <v/>
      </c>
      <c r="L205" s="24" t="n"/>
      <c r="M205" s="25">
        <f>IF(OR(A205="",D205=""),0,IF(COUNTIFS($A$2:A205,A205,$D$2:D205,D205)=1,1,0))</f>
        <v/>
      </c>
    </row>
    <row r="206">
      <c r="A206" s="26" t="n"/>
      <c r="B206" s="27" t="n"/>
      <c r="C206" s="27" t="n"/>
      <c r="D206" s="28" t="n"/>
      <c r="E206" s="28" t="n"/>
      <c r="F206" s="29" t="n"/>
      <c r="G206" s="30" t="n"/>
      <c r="H206" s="20">
        <f>IF(A206="","",TRIM(IF(WEEKDAY(A206,2)&gt;5,"Fin de semana. ","")&amp;IF(SUMIFS($G$2:$G$601,$A$2:$A$601,A206,$D$2:$D$601,D206)&gt;9,"Más de 9 h en el día. ","")&amp;IF(AND(B206&lt;&gt;"",C206&lt;&gt;"",C206&lt;B206),"Cruza la medianoche. ","")&amp;IF(LEN(TRIM(F206))&lt;15,"Sin descripción suficiente. ","")&amp;IF(AND(ISERROR(SEARCH("R-0",F206)),ISERROR(SEARCH("CU-",F206))),"Sin ticket. ","")&amp;IF(ISNA(MATCH(E206,Datos!$E$8:$E$22,0)),"Proyecto sin valor hora. ","")&amp;IF(ISNA(MATCH(D206,Datos!$A$8:$A$22,0)),"Persona fuera del equipo. ","")))</f>
        <v/>
      </c>
      <c r="I206" s="21" t="n"/>
      <c r="J206" s="22" t="n"/>
      <c r="K206" s="23">
        <f>IF(G206="","",IF(J206&lt;&gt;"",MIN(J206,G206),IF(OR(I206="Observada",I206="Rechazada"),0,G206)))</f>
        <v/>
      </c>
      <c r="L206" s="24" t="n"/>
      <c r="M206" s="25">
        <f>IF(OR(A206="",D206=""),0,IF(COUNTIFS($A$2:A206,A206,$D$2:D206,D206)=1,1,0))</f>
        <v/>
      </c>
    </row>
    <row r="207">
      <c r="A207" s="26" t="n"/>
      <c r="B207" s="27" t="n"/>
      <c r="C207" s="27" t="n"/>
      <c r="D207" s="28" t="n"/>
      <c r="E207" s="28" t="n"/>
      <c r="F207" s="29" t="n"/>
      <c r="G207" s="30" t="n"/>
      <c r="H207" s="20">
        <f>IF(A207="","",TRIM(IF(WEEKDAY(A207,2)&gt;5,"Fin de semana. ","")&amp;IF(SUMIFS($G$2:$G$601,$A$2:$A$601,A207,$D$2:$D$601,D207)&gt;9,"Más de 9 h en el día. ","")&amp;IF(AND(B207&lt;&gt;"",C207&lt;&gt;"",C207&lt;B207),"Cruza la medianoche. ","")&amp;IF(LEN(TRIM(F207))&lt;15,"Sin descripción suficiente. ","")&amp;IF(AND(ISERROR(SEARCH("R-0",F207)),ISERROR(SEARCH("CU-",F207))),"Sin ticket. ","")&amp;IF(ISNA(MATCH(E207,Datos!$E$8:$E$22,0)),"Proyecto sin valor hora. ","")&amp;IF(ISNA(MATCH(D207,Datos!$A$8:$A$22,0)),"Persona fuera del equipo. ","")))</f>
        <v/>
      </c>
      <c r="I207" s="21" t="n"/>
      <c r="J207" s="22" t="n"/>
      <c r="K207" s="23">
        <f>IF(G207="","",IF(J207&lt;&gt;"",MIN(J207,G207),IF(OR(I207="Observada",I207="Rechazada"),0,G207)))</f>
        <v/>
      </c>
      <c r="L207" s="24" t="n"/>
      <c r="M207" s="25">
        <f>IF(OR(A207="",D207=""),0,IF(COUNTIFS($A$2:A207,A207,$D$2:D207,D207)=1,1,0))</f>
        <v/>
      </c>
    </row>
    <row r="208">
      <c r="A208" s="26" t="n"/>
      <c r="B208" s="27" t="n"/>
      <c r="C208" s="27" t="n"/>
      <c r="D208" s="28" t="n"/>
      <c r="E208" s="28" t="n"/>
      <c r="F208" s="29" t="n"/>
      <c r="G208" s="30" t="n"/>
      <c r="H208" s="20">
        <f>IF(A208="","",TRIM(IF(WEEKDAY(A208,2)&gt;5,"Fin de semana. ","")&amp;IF(SUMIFS($G$2:$G$601,$A$2:$A$601,A208,$D$2:$D$601,D208)&gt;9,"Más de 9 h en el día. ","")&amp;IF(AND(B208&lt;&gt;"",C208&lt;&gt;"",C208&lt;B208),"Cruza la medianoche. ","")&amp;IF(LEN(TRIM(F208))&lt;15,"Sin descripción suficiente. ","")&amp;IF(AND(ISERROR(SEARCH("R-0",F208)),ISERROR(SEARCH("CU-",F208))),"Sin ticket. ","")&amp;IF(ISNA(MATCH(E208,Datos!$E$8:$E$22,0)),"Proyecto sin valor hora. ","")&amp;IF(ISNA(MATCH(D208,Datos!$A$8:$A$22,0)),"Persona fuera del equipo. ","")))</f>
        <v/>
      </c>
      <c r="I208" s="21" t="n"/>
      <c r="J208" s="22" t="n"/>
      <c r="K208" s="23">
        <f>IF(G208="","",IF(J208&lt;&gt;"",MIN(J208,G208),IF(OR(I208="Observada",I208="Rechazada"),0,G208)))</f>
        <v/>
      </c>
      <c r="L208" s="24" t="n"/>
      <c r="M208" s="25">
        <f>IF(OR(A208="",D208=""),0,IF(COUNTIFS($A$2:A208,A208,$D$2:D208,D208)=1,1,0))</f>
        <v/>
      </c>
    </row>
    <row r="209">
      <c r="A209" s="26" t="n"/>
      <c r="B209" s="27" t="n"/>
      <c r="C209" s="27" t="n"/>
      <c r="D209" s="28" t="n"/>
      <c r="E209" s="28" t="n"/>
      <c r="F209" s="29" t="n"/>
      <c r="G209" s="30" t="n"/>
      <c r="H209" s="20">
        <f>IF(A209="","",TRIM(IF(WEEKDAY(A209,2)&gt;5,"Fin de semana. ","")&amp;IF(SUMIFS($G$2:$G$601,$A$2:$A$601,A209,$D$2:$D$601,D209)&gt;9,"Más de 9 h en el día. ","")&amp;IF(AND(B209&lt;&gt;"",C209&lt;&gt;"",C209&lt;B209),"Cruza la medianoche. ","")&amp;IF(LEN(TRIM(F209))&lt;15,"Sin descripción suficiente. ","")&amp;IF(AND(ISERROR(SEARCH("R-0",F209)),ISERROR(SEARCH("CU-",F209))),"Sin ticket. ","")&amp;IF(ISNA(MATCH(E209,Datos!$E$8:$E$22,0)),"Proyecto sin valor hora. ","")&amp;IF(ISNA(MATCH(D209,Datos!$A$8:$A$22,0)),"Persona fuera del equipo. ","")))</f>
        <v/>
      </c>
      <c r="I209" s="21" t="n"/>
      <c r="J209" s="22" t="n"/>
      <c r="K209" s="23">
        <f>IF(G209="","",IF(J209&lt;&gt;"",MIN(J209,G209),IF(OR(I209="Observada",I209="Rechazada"),0,G209)))</f>
        <v/>
      </c>
      <c r="L209" s="24" t="n"/>
      <c r="M209" s="25">
        <f>IF(OR(A209="",D209=""),0,IF(COUNTIFS($A$2:A209,A209,$D$2:D209,D209)=1,1,0))</f>
        <v/>
      </c>
    </row>
    <row r="210">
      <c r="A210" s="26" t="n"/>
      <c r="B210" s="27" t="n"/>
      <c r="C210" s="27" t="n"/>
      <c r="D210" s="28" t="n"/>
      <c r="E210" s="28" t="n"/>
      <c r="F210" s="29" t="n"/>
      <c r="G210" s="30" t="n"/>
      <c r="H210" s="20">
        <f>IF(A210="","",TRIM(IF(WEEKDAY(A210,2)&gt;5,"Fin de semana. ","")&amp;IF(SUMIFS($G$2:$G$601,$A$2:$A$601,A210,$D$2:$D$601,D210)&gt;9,"Más de 9 h en el día. ","")&amp;IF(AND(B210&lt;&gt;"",C210&lt;&gt;"",C210&lt;B210),"Cruza la medianoche. ","")&amp;IF(LEN(TRIM(F210))&lt;15,"Sin descripción suficiente. ","")&amp;IF(AND(ISERROR(SEARCH("R-0",F210)),ISERROR(SEARCH("CU-",F210))),"Sin ticket. ","")&amp;IF(ISNA(MATCH(E210,Datos!$E$8:$E$22,0)),"Proyecto sin valor hora. ","")&amp;IF(ISNA(MATCH(D210,Datos!$A$8:$A$22,0)),"Persona fuera del equipo. ","")))</f>
        <v/>
      </c>
      <c r="I210" s="21" t="n"/>
      <c r="J210" s="22" t="n"/>
      <c r="K210" s="23">
        <f>IF(G210="","",IF(J210&lt;&gt;"",MIN(J210,G210),IF(OR(I210="Observada",I210="Rechazada"),0,G210)))</f>
        <v/>
      </c>
      <c r="L210" s="24" t="n"/>
      <c r="M210" s="25">
        <f>IF(OR(A210="",D210=""),0,IF(COUNTIFS($A$2:A210,A210,$D$2:D210,D210)=1,1,0))</f>
        <v/>
      </c>
    </row>
    <row r="211">
      <c r="A211" s="26" t="n"/>
      <c r="B211" s="27" t="n"/>
      <c r="C211" s="27" t="n"/>
      <c r="D211" s="28" t="n"/>
      <c r="E211" s="28" t="n"/>
      <c r="F211" s="29" t="n"/>
      <c r="G211" s="30" t="n"/>
      <c r="H211" s="20">
        <f>IF(A211="","",TRIM(IF(WEEKDAY(A211,2)&gt;5,"Fin de semana. ","")&amp;IF(SUMIFS($G$2:$G$601,$A$2:$A$601,A211,$D$2:$D$601,D211)&gt;9,"Más de 9 h en el día. ","")&amp;IF(AND(B211&lt;&gt;"",C211&lt;&gt;"",C211&lt;B211),"Cruza la medianoche. ","")&amp;IF(LEN(TRIM(F211))&lt;15,"Sin descripción suficiente. ","")&amp;IF(AND(ISERROR(SEARCH("R-0",F211)),ISERROR(SEARCH("CU-",F211))),"Sin ticket. ","")&amp;IF(ISNA(MATCH(E211,Datos!$E$8:$E$22,0)),"Proyecto sin valor hora. ","")&amp;IF(ISNA(MATCH(D211,Datos!$A$8:$A$22,0)),"Persona fuera del equipo. ","")))</f>
        <v/>
      </c>
      <c r="I211" s="21" t="n"/>
      <c r="J211" s="22" t="n"/>
      <c r="K211" s="23">
        <f>IF(G211="","",IF(J211&lt;&gt;"",MIN(J211,G211),IF(OR(I211="Observada",I211="Rechazada"),0,G211)))</f>
        <v/>
      </c>
      <c r="L211" s="24" t="n"/>
      <c r="M211" s="25">
        <f>IF(OR(A211="",D211=""),0,IF(COUNTIFS($A$2:A211,A211,$D$2:D211,D211)=1,1,0))</f>
        <v/>
      </c>
    </row>
    <row r="212">
      <c r="A212" s="26" t="n"/>
      <c r="B212" s="27" t="n"/>
      <c r="C212" s="27" t="n"/>
      <c r="D212" s="28" t="n"/>
      <c r="E212" s="28" t="n"/>
      <c r="F212" s="29" t="n"/>
      <c r="G212" s="30" t="n"/>
      <c r="H212" s="20">
        <f>IF(A212="","",TRIM(IF(WEEKDAY(A212,2)&gt;5,"Fin de semana. ","")&amp;IF(SUMIFS($G$2:$G$601,$A$2:$A$601,A212,$D$2:$D$601,D212)&gt;9,"Más de 9 h en el día. ","")&amp;IF(AND(B212&lt;&gt;"",C212&lt;&gt;"",C212&lt;B212),"Cruza la medianoche. ","")&amp;IF(LEN(TRIM(F212))&lt;15,"Sin descripción suficiente. ","")&amp;IF(AND(ISERROR(SEARCH("R-0",F212)),ISERROR(SEARCH("CU-",F212))),"Sin ticket. ","")&amp;IF(ISNA(MATCH(E212,Datos!$E$8:$E$22,0)),"Proyecto sin valor hora. ","")&amp;IF(ISNA(MATCH(D212,Datos!$A$8:$A$22,0)),"Persona fuera del equipo. ","")))</f>
        <v/>
      </c>
      <c r="I212" s="21" t="n"/>
      <c r="J212" s="22" t="n"/>
      <c r="K212" s="23">
        <f>IF(G212="","",IF(J212&lt;&gt;"",MIN(J212,G212),IF(OR(I212="Observada",I212="Rechazada"),0,G212)))</f>
        <v/>
      </c>
      <c r="L212" s="24" t="n"/>
      <c r="M212" s="25">
        <f>IF(OR(A212="",D212=""),0,IF(COUNTIFS($A$2:A212,A212,$D$2:D212,D212)=1,1,0))</f>
        <v/>
      </c>
    </row>
    <row r="213">
      <c r="A213" s="26" t="n"/>
      <c r="B213" s="27" t="n"/>
      <c r="C213" s="27" t="n"/>
      <c r="D213" s="28" t="n"/>
      <c r="E213" s="28" t="n"/>
      <c r="F213" s="29" t="n"/>
      <c r="G213" s="30" t="n"/>
      <c r="H213" s="20">
        <f>IF(A213="","",TRIM(IF(WEEKDAY(A213,2)&gt;5,"Fin de semana. ","")&amp;IF(SUMIFS($G$2:$G$601,$A$2:$A$601,A213,$D$2:$D$601,D213)&gt;9,"Más de 9 h en el día. ","")&amp;IF(AND(B213&lt;&gt;"",C213&lt;&gt;"",C213&lt;B213),"Cruza la medianoche. ","")&amp;IF(LEN(TRIM(F213))&lt;15,"Sin descripción suficiente. ","")&amp;IF(AND(ISERROR(SEARCH("R-0",F213)),ISERROR(SEARCH("CU-",F213))),"Sin ticket. ","")&amp;IF(ISNA(MATCH(E213,Datos!$E$8:$E$22,0)),"Proyecto sin valor hora. ","")&amp;IF(ISNA(MATCH(D213,Datos!$A$8:$A$22,0)),"Persona fuera del equipo. ","")))</f>
        <v/>
      </c>
      <c r="I213" s="21" t="n"/>
      <c r="J213" s="22" t="n"/>
      <c r="K213" s="23">
        <f>IF(G213="","",IF(J213&lt;&gt;"",MIN(J213,G213),IF(OR(I213="Observada",I213="Rechazada"),0,G213)))</f>
        <v/>
      </c>
      <c r="L213" s="24" t="n"/>
      <c r="M213" s="25">
        <f>IF(OR(A213="",D213=""),0,IF(COUNTIFS($A$2:A213,A213,$D$2:D213,D213)=1,1,0))</f>
        <v/>
      </c>
    </row>
    <row r="214">
      <c r="A214" s="26" t="n"/>
      <c r="B214" s="27" t="n"/>
      <c r="C214" s="27" t="n"/>
      <c r="D214" s="28" t="n"/>
      <c r="E214" s="28" t="n"/>
      <c r="F214" s="29" t="n"/>
      <c r="G214" s="30" t="n"/>
      <c r="H214" s="20">
        <f>IF(A214="","",TRIM(IF(WEEKDAY(A214,2)&gt;5,"Fin de semana. ","")&amp;IF(SUMIFS($G$2:$G$601,$A$2:$A$601,A214,$D$2:$D$601,D214)&gt;9,"Más de 9 h en el día. ","")&amp;IF(AND(B214&lt;&gt;"",C214&lt;&gt;"",C214&lt;B214),"Cruza la medianoche. ","")&amp;IF(LEN(TRIM(F214))&lt;15,"Sin descripción suficiente. ","")&amp;IF(AND(ISERROR(SEARCH("R-0",F214)),ISERROR(SEARCH("CU-",F214))),"Sin ticket. ","")&amp;IF(ISNA(MATCH(E214,Datos!$E$8:$E$22,0)),"Proyecto sin valor hora. ","")&amp;IF(ISNA(MATCH(D214,Datos!$A$8:$A$22,0)),"Persona fuera del equipo. ","")))</f>
        <v/>
      </c>
      <c r="I214" s="21" t="n"/>
      <c r="J214" s="22" t="n"/>
      <c r="K214" s="23">
        <f>IF(G214="","",IF(J214&lt;&gt;"",MIN(J214,G214),IF(OR(I214="Observada",I214="Rechazada"),0,G214)))</f>
        <v/>
      </c>
      <c r="L214" s="24" t="n"/>
      <c r="M214" s="25">
        <f>IF(OR(A214="",D214=""),0,IF(COUNTIFS($A$2:A214,A214,$D$2:D214,D214)=1,1,0))</f>
        <v/>
      </c>
    </row>
    <row r="215">
      <c r="A215" s="26" t="n"/>
      <c r="B215" s="27" t="n"/>
      <c r="C215" s="27" t="n"/>
      <c r="D215" s="28" t="n"/>
      <c r="E215" s="28" t="n"/>
      <c r="F215" s="29" t="n"/>
      <c r="G215" s="30" t="n"/>
      <c r="H215" s="20">
        <f>IF(A215="","",TRIM(IF(WEEKDAY(A215,2)&gt;5,"Fin de semana. ","")&amp;IF(SUMIFS($G$2:$G$601,$A$2:$A$601,A215,$D$2:$D$601,D215)&gt;9,"Más de 9 h en el día. ","")&amp;IF(AND(B215&lt;&gt;"",C215&lt;&gt;"",C215&lt;B215),"Cruza la medianoche. ","")&amp;IF(LEN(TRIM(F215))&lt;15,"Sin descripción suficiente. ","")&amp;IF(AND(ISERROR(SEARCH("R-0",F215)),ISERROR(SEARCH("CU-",F215))),"Sin ticket. ","")&amp;IF(ISNA(MATCH(E215,Datos!$E$8:$E$22,0)),"Proyecto sin valor hora. ","")&amp;IF(ISNA(MATCH(D215,Datos!$A$8:$A$22,0)),"Persona fuera del equipo. ","")))</f>
        <v/>
      </c>
      <c r="I215" s="21" t="n"/>
      <c r="J215" s="22" t="n"/>
      <c r="K215" s="23">
        <f>IF(G215="","",IF(J215&lt;&gt;"",MIN(J215,G215),IF(OR(I215="Observada",I215="Rechazada"),0,G215)))</f>
        <v/>
      </c>
      <c r="L215" s="24" t="n"/>
      <c r="M215" s="25">
        <f>IF(OR(A215="",D215=""),0,IF(COUNTIFS($A$2:A215,A215,$D$2:D215,D215)=1,1,0))</f>
        <v/>
      </c>
    </row>
    <row r="216">
      <c r="A216" s="26" t="n"/>
      <c r="B216" s="27" t="n"/>
      <c r="C216" s="27" t="n"/>
      <c r="D216" s="28" t="n"/>
      <c r="E216" s="28" t="n"/>
      <c r="F216" s="29" t="n"/>
      <c r="G216" s="30" t="n"/>
      <c r="H216" s="20">
        <f>IF(A216="","",TRIM(IF(WEEKDAY(A216,2)&gt;5,"Fin de semana. ","")&amp;IF(SUMIFS($G$2:$G$601,$A$2:$A$601,A216,$D$2:$D$601,D216)&gt;9,"Más de 9 h en el día. ","")&amp;IF(AND(B216&lt;&gt;"",C216&lt;&gt;"",C216&lt;B216),"Cruza la medianoche. ","")&amp;IF(LEN(TRIM(F216))&lt;15,"Sin descripción suficiente. ","")&amp;IF(AND(ISERROR(SEARCH("R-0",F216)),ISERROR(SEARCH("CU-",F216))),"Sin ticket. ","")&amp;IF(ISNA(MATCH(E216,Datos!$E$8:$E$22,0)),"Proyecto sin valor hora. ","")&amp;IF(ISNA(MATCH(D216,Datos!$A$8:$A$22,0)),"Persona fuera del equipo. ","")))</f>
        <v/>
      </c>
      <c r="I216" s="21" t="n"/>
      <c r="J216" s="22" t="n"/>
      <c r="K216" s="23">
        <f>IF(G216="","",IF(J216&lt;&gt;"",MIN(J216,G216),IF(OR(I216="Observada",I216="Rechazada"),0,G216)))</f>
        <v/>
      </c>
      <c r="L216" s="24" t="n"/>
      <c r="M216" s="25">
        <f>IF(OR(A216="",D216=""),0,IF(COUNTIFS($A$2:A216,A216,$D$2:D216,D216)=1,1,0))</f>
        <v/>
      </c>
    </row>
    <row r="217">
      <c r="A217" s="26" t="n"/>
      <c r="B217" s="27" t="n"/>
      <c r="C217" s="27" t="n"/>
      <c r="D217" s="28" t="n"/>
      <c r="E217" s="28" t="n"/>
      <c r="F217" s="29" t="n"/>
      <c r="G217" s="30" t="n"/>
      <c r="H217" s="20">
        <f>IF(A217="","",TRIM(IF(WEEKDAY(A217,2)&gt;5,"Fin de semana. ","")&amp;IF(SUMIFS($G$2:$G$601,$A$2:$A$601,A217,$D$2:$D$601,D217)&gt;9,"Más de 9 h en el día. ","")&amp;IF(AND(B217&lt;&gt;"",C217&lt;&gt;"",C217&lt;B217),"Cruza la medianoche. ","")&amp;IF(LEN(TRIM(F217))&lt;15,"Sin descripción suficiente. ","")&amp;IF(AND(ISERROR(SEARCH("R-0",F217)),ISERROR(SEARCH("CU-",F217))),"Sin ticket. ","")&amp;IF(ISNA(MATCH(E217,Datos!$E$8:$E$22,0)),"Proyecto sin valor hora. ","")&amp;IF(ISNA(MATCH(D217,Datos!$A$8:$A$22,0)),"Persona fuera del equipo. ","")))</f>
        <v/>
      </c>
      <c r="I217" s="21" t="n"/>
      <c r="J217" s="22" t="n"/>
      <c r="K217" s="23">
        <f>IF(G217="","",IF(J217&lt;&gt;"",MIN(J217,G217),IF(OR(I217="Observada",I217="Rechazada"),0,G217)))</f>
        <v/>
      </c>
      <c r="L217" s="24" t="n"/>
      <c r="M217" s="25">
        <f>IF(OR(A217="",D217=""),0,IF(COUNTIFS($A$2:A217,A217,$D$2:D217,D217)=1,1,0))</f>
        <v/>
      </c>
    </row>
    <row r="218">
      <c r="A218" s="26" t="n"/>
      <c r="B218" s="27" t="n"/>
      <c r="C218" s="27" t="n"/>
      <c r="D218" s="28" t="n"/>
      <c r="E218" s="28" t="n"/>
      <c r="F218" s="29" t="n"/>
      <c r="G218" s="30" t="n"/>
      <c r="H218" s="20">
        <f>IF(A218="","",TRIM(IF(WEEKDAY(A218,2)&gt;5,"Fin de semana. ","")&amp;IF(SUMIFS($G$2:$G$601,$A$2:$A$601,A218,$D$2:$D$601,D218)&gt;9,"Más de 9 h en el día. ","")&amp;IF(AND(B218&lt;&gt;"",C218&lt;&gt;"",C218&lt;B218),"Cruza la medianoche. ","")&amp;IF(LEN(TRIM(F218))&lt;15,"Sin descripción suficiente. ","")&amp;IF(AND(ISERROR(SEARCH("R-0",F218)),ISERROR(SEARCH("CU-",F218))),"Sin ticket. ","")&amp;IF(ISNA(MATCH(E218,Datos!$E$8:$E$22,0)),"Proyecto sin valor hora. ","")&amp;IF(ISNA(MATCH(D218,Datos!$A$8:$A$22,0)),"Persona fuera del equipo. ","")))</f>
        <v/>
      </c>
      <c r="I218" s="21" t="n"/>
      <c r="J218" s="22" t="n"/>
      <c r="K218" s="23">
        <f>IF(G218="","",IF(J218&lt;&gt;"",MIN(J218,G218),IF(OR(I218="Observada",I218="Rechazada"),0,G218)))</f>
        <v/>
      </c>
      <c r="L218" s="24" t="n"/>
      <c r="M218" s="25">
        <f>IF(OR(A218="",D218=""),0,IF(COUNTIFS($A$2:A218,A218,$D$2:D218,D218)=1,1,0))</f>
        <v/>
      </c>
    </row>
    <row r="219">
      <c r="A219" s="26" t="n"/>
      <c r="B219" s="27" t="n"/>
      <c r="C219" s="27" t="n"/>
      <c r="D219" s="28" t="n"/>
      <c r="E219" s="28" t="n"/>
      <c r="F219" s="29" t="n"/>
      <c r="G219" s="30" t="n"/>
      <c r="H219" s="20">
        <f>IF(A219="","",TRIM(IF(WEEKDAY(A219,2)&gt;5,"Fin de semana. ","")&amp;IF(SUMIFS($G$2:$G$601,$A$2:$A$601,A219,$D$2:$D$601,D219)&gt;9,"Más de 9 h en el día. ","")&amp;IF(AND(B219&lt;&gt;"",C219&lt;&gt;"",C219&lt;B219),"Cruza la medianoche. ","")&amp;IF(LEN(TRIM(F219))&lt;15,"Sin descripción suficiente. ","")&amp;IF(AND(ISERROR(SEARCH("R-0",F219)),ISERROR(SEARCH("CU-",F219))),"Sin ticket. ","")&amp;IF(ISNA(MATCH(E219,Datos!$E$8:$E$22,0)),"Proyecto sin valor hora. ","")&amp;IF(ISNA(MATCH(D219,Datos!$A$8:$A$22,0)),"Persona fuera del equipo. ","")))</f>
        <v/>
      </c>
      <c r="I219" s="21" t="n"/>
      <c r="J219" s="22" t="n"/>
      <c r="K219" s="23">
        <f>IF(G219="","",IF(J219&lt;&gt;"",MIN(J219,G219),IF(OR(I219="Observada",I219="Rechazada"),0,G219)))</f>
        <v/>
      </c>
      <c r="L219" s="24" t="n"/>
      <c r="M219" s="25">
        <f>IF(OR(A219="",D219=""),0,IF(COUNTIFS($A$2:A219,A219,$D$2:D219,D219)=1,1,0))</f>
        <v/>
      </c>
    </row>
    <row r="220">
      <c r="A220" s="26" t="n"/>
      <c r="B220" s="27" t="n"/>
      <c r="C220" s="27" t="n"/>
      <c r="D220" s="28" t="n"/>
      <c r="E220" s="28" t="n"/>
      <c r="F220" s="29" t="n"/>
      <c r="G220" s="30" t="n"/>
      <c r="H220" s="20">
        <f>IF(A220="","",TRIM(IF(WEEKDAY(A220,2)&gt;5,"Fin de semana. ","")&amp;IF(SUMIFS($G$2:$G$601,$A$2:$A$601,A220,$D$2:$D$601,D220)&gt;9,"Más de 9 h en el día. ","")&amp;IF(AND(B220&lt;&gt;"",C220&lt;&gt;"",C220&lt;B220),"Cruza la medianoche. ","")&amp;IF(LEN(TRIM(F220))&lt;15,"Sin descripción suficiente. ","")&amp;IF(AND(ISERROR(SEARCH("R-0",F220)),ISERROR(SEARCH("CU-",F220))),"Sin ticket. ","")&amp;IF(ISNA(MATCH(E220,Datos!$E$8:$E$22,0)),"Proyecto sin valor hora. ","")&amp;IF(ISNA(MATCH(D220,Datos!$A$8:$A$22,0)),"Persona fuera del equipo. ","")))</f>
        <v/>
      </c>
      <c r="I220" s="21" t="n"/>
      <c r="J220" s="22" t="n"/>
      <c r="K220" s="23">
        <f>IF(G220="","",IF(J220&lt;&gt;"",MIN(J220,G220),IF(OR(I220="Observada",I220="Rechazada"),0,G220)))</f>
        <v/>
      </c>
      <c r="L220" s="24" t="n"/>
      <c r="M220" s="25">
        <f>IF(OR(A220="",D220=""),0,IF(COUNTIFS($A$2:A220,A220,$D$2:D220,D220)=1,1,0))</f>
        <v/>
      </c>
    </row>
    <row r="221">
      <c r="A221" s="26" t="n"/>
      <c r="B221" s="27" t="n"/>
      <c r="C221" s="27" t="n"/>
      <c r="D221" s="28" t="n"/>
      <c r="E221" s="28" t="n"/>
      <c r="F221" s="29" t="n"/>
      <c r="G221" s="30" t="n"/>
      <c r="H221" s="20">
        <f>IF(A221="","",TRIM(IF(WEEKDAY(A221,2)&gt;5,"Fin de semana. ","")&amp;IF(SUMIFS($G$2:$G$601,$A$2:$A$601,A221,$D$2:$D$601,D221)&gt;9,"Más de 9 h en el día. ","")&amp;IF(AND(B221&lt;&gt;"",C221&lt;&gt;"",C221&lt;B221),"Cruza la medianoche. ","")&amp;IF(LEN(TRIM(F221))&lt;15,"Sin descripción suficiente. ","")&amp;IF(AND(ISERROR(SEARCH("R-0",F221)),ISERROR(SEARCH("CU-",F221))),"Sin ticket. ","")&amp;IF(ISNA(MATCH(E221,Datos!$E$8:$E$22,0)),"Proyecto sin valor hora. ","")&amp;IF(ISNA(MATCH(D221,Datos!$A$8:$A$22,0)),"Persona fuera del equipo. ","")))</f>
        <v/>
      </c>
      <c r="I221" s="21" t="n"/>
      <c r="J221" s="22" t="n"/>
      <c r="K221" s="23">
        <f>IF(G221="","",IF(J221&lt;&gt;"",MIN(J221,G221),IF(OR(I221="Observada",I221="Rechazada"),0,G221)))</f>
        <v/>
      </c>
      <c r="L221" s="24" t="n"/>
      <c r="M221" s="25">
        <f>IF(OR(A221="",D221=""),0,IF(COUNTIFS($A$2:A221,A221,$D$2:D221,D221)=1,1,0))</f>
        <v/>
      </c>
    </row>
    <row r="222">
      <c r="A222" s="26" t="n"/>
      <c r="B222" s="27" t="n"/>
      <c r="C222" s="27" t="n"/>
      <c r="D222" s="28" t="n"/>
      <c r="E222" s="28" t="n"/>
      <c r="F222" s="29" t="n"/>
      <c r="G222" s="30" t="n"/>
      <c r="H222" s="20">
        <f>IF(A222="","",TRIM(IF(WEEKDAY(A222,2)&gt;5,"Fin de semana. ","")&amp;IF(SUMIFS($G$2:$G$601,$A$2:$A$601,A222,$D$2:$D$601,D222)&gt;9,"Más de 9 h en el día. ","")&amp;IF(AND(B222&lt;&gt;"",C222&lt;&gt;"",C222&lt;B222),"Cruza la medianoche. ","")&amp;IF(LEN(TRIM(F222))&lt;15,"Sin descripción suficiente. ","")&amp;IF(AND(ISERROR(SEARCH("R-0",F222)),ISERROR(SEARCH("CU-",F222))),"Sin ticket. ","")&amp;IF(ISNA(MATCH(E222,Datos!$E$8:$E$22,0)),"Proyecto sin valor hora. ","")&amp;IF(ISNA(MATCH(D222,Datos!$A$8:$A$22,0)),"Persona fuera del equipo. ","")))</f>
        <v/>
      </c>
      <c r="I222" s="21" t="n"/>
      <c r="J222" s="22" t="n"/>
      <c r="K222" s="23">
        <f>IF(G222="","",IF(J222&lt;&gt;"",MIN(J222,G222),IF(OR(I222="Observada",I222="Rechazada"),0,G222)))</f>
        <v/>
      </c>
      <c r="L222" s="24" t="n"/>
      <c r="M222" s="25">
        <f>IF(OR(A222="",D222=""),0,IF(COUNTIFS($A$2:A222,A222,$D$2:D222,D222)=1,1,0))</f>
        <v/>
      </c>
    </row>
    <row r="223">
      <c r="A223" s="26" t="n"/>
      <c r="B223" s="27" t="n"/>
      <c r="C223" s="27" t="n"/>
      <c r="D223" s="28" t="n"/>
      <c r="E223" s="28" t="n"/>
      <c r="F223" s="29" t="n"/>
      <c r="G223" s="30" t="n"/>
      <c r="H223" s="20">
        <f>IF(A223="","",TRIM(IF(WEEKDAY(A223,2)&gt;5,"Fin de semana. ","")&amp;IF(SUMIFS($G$2:$G$601,$A$2:$A$601,A223,$D$2:$D$601,D223)&gt;9,"Más de 9 h en el día. ","")&amp;IF(AND(B223&lt;&gt;"",C223&lt;&gt;"",C223&lt;B223),"Cruza la medianoche. ","")&amp;IF(LEN(TRIM(F223))&lt;15,"Sin descripción suficiente. ","")&amp;IF(AND(ISERROR(SEARCH("R-0",F223)),ISERROR(SEARCH("CU-",F223))),"Sin ticket. ","")&amp;IF(ISNA(MATCH(E223,Datos!$E$8:$E$22,0)),"Proyecto sin valor hora. ","")&amp;IF(ISNA(MATCH(D223,Datos!$A$8:$A$22,0)),"Persona fuera del equipo. ","")))</f>
        <v/>
      </c>
      <c r="I223" s="21" t="n"/>
      <c r="J223" s="22" t="n"/>
      <c r="K223" s="23">
        <f>IF(G223="","",IF(J223&lt;&gt;"",MIN(J223,G223),IF(OR(I223="Observada",I223="Rechazada"),0,G223)))</f>
        <v/>
      </c>
      <c r="L223" s="24" t="n"/>
      <c r="M223" s="25">
        <f>IF(OR(A223="",D223=""),0,IF(COUNTIFS($A$2:A223,A223,$D$2:D223,D223)=1,1,0))</f>
        <v/>
      </c>
    </row>
    <row r="224">
      <c r="A224" s="26" t="n"/>
      <c r="B224" s="27" t="n"/>
      <c r="C224" s="27" t="n"/>
      <c r="D224" s="28" t="n"/>
      <c r="E224" s="28" t="n"/>
      <c r="F224" s="29" t="n"/>
      <c r="G224" s="30" t="n"/>
      <c r="H224" s="20">
        <f>IF(A224="","",TRIM(IF(WEEKDAY(A224,2)&gt;5,"Fin de semana. ","")&amp;IF(SUMIFS($G$2:$G$601,$A$2:$A$601,A224,$D$2:$D$601,D224)&gt;9,"Más de 9 h en el día. ","")&amp;IF(AND(B224&lt;&gt;"",C224&lt;&gt;"",C224&lt;B224),"Cruza la medianoche. ","")&amp;IF(LEN(TRIM(F224))&lt;15,"Sin descripción suficiente. ","")&amp;IF(AND(ISERROR(SEARCH("R-0",F224)),ISERROR(SEARCH("CU-",F224))),"Sin ticket. ","")&amp;IF(ISNA(MATCH(E224,Datos!$E$8:$E$22,0)),"Proyecto sin valor hora. ","")&amp;IF(ISNA(MATCH(D224,Datos!$A$8:$A$22,0)),"Persona fuera del equipo. ","")))</f>
        <v/>
      </c>
      <c r="I224" s="21" t="n"/>
      <c r="J224" s="22" t="n"/>
      <c r="K224" s="23">
        <f>IF(G224="","",IF(J224&lt;&gt;"",MIN(J224,G224),IF(OR(I224="Observada",I224="Rechazada"),0,G224)))</f>
        <v/>
      </c>
      <c r="L224" s="24" t="n"/>
      <c r="M224" s="25">
        <f>IF(OR(A224="",D224=""),0,IF(COUNTIFS($A$2:A224,A224,$D$2:D224,D224)=1,1,0))</f>
        <v/>
      </c>
    </row>
    <row r="225">
      <c r="A225" s="26" t="n"/>
      <c r="B225" s="27" t="n"/>
      <c r="C225" s="27" t="n"/>
      <c r="D225" s="28" t="n"/>
      <c r="E225" s="28" t="n"/>
      <c r="F225" s="29" t="n"/>
      <c r="G225" s="30" t="n"/>
      <c r="H225" s="20">
        <f>IF(A225="","",TRIM(IF(WEEKDAY(A225,2)&gt;5,"Fin de semana. ","")&amp;IF(SUMIFS($G$2:$G$601,$A$2:$A$601,A225,$D$2:$D$601,D225)&gt;9,"Más de 9 h en el día. ","")&amp;IF(AND(B225&lt;&gt;"",C225&lt;&gt;"",C225&lt;B225),"Cruza la medianoche. ","")&amp;IF(LEN(TRIM(F225))&lt;15,"Sin descripción suficiente. ","")&amp;IF(AND(ISERROR(SEARCH("R-0",F225)),ISERROR(SEARCH("CU-",F225))),"Sin ticket. ","")&amp;IF(ISNA(MATCH(E225,Datos!$E$8:$E$22,0)),"Proyecto sin valor hora. ","")&amp;IF(ISNA(MATCH(D225,Datos!$A$8:$A$22,0)),"Persona fuera del equipo. ","")))</f>
        <v/>
      </c>
      <c r="I225" s="21" t="n"/>
      <c r="J225" s="22" t="n"/>
      <c r="K225" s="23">
        <f>IF(G225="","",IF(J225&lt;&gt;"",MIN(J225,G225),IF(OR(I225="Observada",I225="Rechazada"),0,G225)))</f>
        <v/>
      </c>
      <c r="L225" s="24" t="n"/>
      <c r="M225" s="25">
        <f>IF(OR(A225="",D225=""),0,IF(COUNTIFS($A$2:A225,A225,$D$2:D225,D225)=1,1,0))</f>
        <v/>
      </c>
    </row>
    <row r="226">
      <c r="A226" s="26" t="n"/>
      <c r="B226" s="27" t="n"/>
      <c r="C226" s="27" t="n"/>
      <c r="D226" s="28" t="n"/>
      <c r="E226" s="28" t="n"/>
      <c r="F226" s="29" t="n"/>
      <c r="G226" s="30" t="n"/>
      <c r="H226" s="20">
        <f>IF(A226="","",TRIM(IF(WEEKDAY(A226,2)&gt;5,"Fin de semana. ","")&amp;IF(SUMIFS($G$2:$G$601,$A$2:$A$601,A226,$D$2:$D$601,D226)&gt;9,"Más de 9 h en el día. ","")&amp;IF(AND(B226&lt;&gt;"",C226&lt;&gt;"",C226&lt;B226),"Cruza la medianoche. ","")&amp;IF(LEN(TRIM(F226))&lt;15,"Sin descripción suficiente. ","")&amp;IF(AND(ISERROR(SEARCH("R-0",F226)),ISERROR(SEARCH("CU-",F226))),"Sin ticket. ","")&amp;IF(ISNA(MATCH(E226,Datos!$E$8:$E$22,0)),"Proyecto sin valor hora. ","")&amp;IF(ISNA(MATCH(D226,Datos!$A$8:$A$22,0)),"Persona fuera del equipo. ","")))</f>
        <v/>
      </c>
      <c r="I226" s="21" t="n"/>
      <c r="J226" s="22" t="n"/>
      <c r="K226" s="23">
        <f>IF(G226="","",IF(J226&lt;&gt;"",MIN(J226,G226),IF(OR(I226="Observada",I226="Rechazada"),0,G226)))</f>
        <v/>
      </c>
      <c r="L226" s="24" t="n"/>
      <c r="M226" s="25">
        <f>IF(OR(A226="",D226=""),0,IF(COUNTIFS($A$2:A226,A226,$D$2:D226,D226)=1,1,0))</f>
        <v/>
      </c>
    </row>
    <row r="227">
      <c r="A227" s="26" t="n"/>
      <c r="B227" s="27" t="n"/>
      <c r="C227" s="27" t="n"/>
      <c r="D227" s="28" t="n"/>
      <c r="E227" s="28" t="n"/>
      <c r="F227" s="29" t="n"/>
      <c r="G227" s="30" t="n"/>
      <c r="H227" s="20">
        <f>IF(A227="","",TRIM(IF(WEEKDAY(A227,2)&gt;5,"Fin de semana. ","")&amp;IF(SUMIFS($G$2:$G$601,$A$2:$A$601,A227,$D$2:$D$601,D227)&gt;9,"Más de 9 h en el día. ","")&amp;IF(AND(B227&lt;&gt;"",C227&lt;&gt;"",C227&lt;B227),"Cruza la medianoche. ","")&amp;IF(LEN(TRIM(F227))&lt;15,"Sin descripción suficiente. ","")&amp;IF(AND(ISERROR(SEARCH("R-0",F227)),ISERROR(SEARCH("CU-",F227))),"Sin ticket. ","")&amp;IF(ISNA(MATCH(E227,Datos!$E$8:$E$22,0)),"Proyecto sin valor hora. ","")&amp;IF(ISNA(MATCH(D227,Datos!$A$8:$A$22,0)),"Persona fuera del equipo. ","")))</f>
        <v/>
      </c>
      <c r="I227" s="21" t="n"/>
      <c r="J227" s="22" t="n"/>
      <c r="K227" s="23">
        <f>IF(G227="","",IF(J227&lt;&gt;"",MIN(J227,G227),IF(OR(I227="Observada",I227="Rechazada"),0,G227)))</f>
        <v/>
      </c>
      <c r="L227" s="24" t="n"/>
      <c r="M227" s="25">
        <f>IF(OR(A227="",D227=""),0,IF(COUNTIFS($A$2:A227,A227,$D$2:D227,D227)=1,1,0))</f>
        <v/>
      </c>
    </row>
    <row r="228">
      <c r="A228" s="26" t="n"/>
      <c r="B228" s="27" t="n"/>
      <c r="C228" s="27" t="n"/>
      <c r="D228" s="28" t="n"/>
      <c r="E228" s="28" t="n"/>
      <c r="F228" s="29" t="n"/>
      <c r="G228" s="30" t="n"/>
      <c r="H228" s="20">
        <f>IF(A228="","",TRIM(IF(WEEKDAY(A228,2)&gt;5,"Fin de semana. ","")&amp;IF(SUMIFS($G$2:$G$601,$A$2:$A$601,A228,$D$2:$D$601,D228)&gt;9,"Más de 9 h en el día. ","")&amp;IF(AND(B228&lt;&gt;"",C228&lt;&gt;"",C228&lt;B228),"Cruza la medianoche. ","")&amp;IF(LEN(TRIM(F228))&lt;15,"Sin descripción suficiente. ","")&amp;IF(AND(ISERROR(SEARCH("R-0",F228)),ISERROR(SEARCH("CU-",F228))),"Sin ticket. ","")&amp;IF(ISNA(MATCH(E228,Datos!$E$8:$E$22,0)),"Proyecto sin valor hora. ","")&amp;IF(ISNA(MATCH(D228,Datos!$A$8:$A$22,0)),"Persona fuera del equipo. ","")))</f>
        <v/>
      </c>
      <c r="I228" s="21" t="n"/>
      <c r="J228" s="22" t="n"/>
      <c r="K228" s="23">
        <f>IF(G228="","",IF(J228&lt;&gt;"",MIN(J228,G228),IF(OR(I228="Observada",I228="Rechazada"),0,G228)))</f>
        <v/>
      </c>
      <c r="L228" s="24" t="n"/>
      <c r="M228" s="25">
        <f>IF(OR(A228="",D228=""),0,IF(COUNTIFS($A$2:A228,A228,$D$2:D228,D228)=1,1,0))</f>
        <v/>
      </c>
    </row>
    <row r="229">
      <c r="A229" s="26" t="n"/>
      <c r="B229" s="27" t="n"/>
      <c r="C229" s="27" t="n"/>
      <c r="D229" s="28" t="n"/>
      <c r="E229" s="28" t="n"/>
      <c r="F229" s="29" t="n"/>
      <c r="G229" s="30" t="n"/>
      <c r="H229" s="20">
        <f>IF(A229="","",TRIM(IF(WEEKDAY(A229,2)&gt;5,"Fin de semana. ","")&amp;IF(SUMIFS($G$2:$G$601,$A$2:$A$601,A229,$D$2:$D$601,D229)&gt;9,"Más de 9 h en el día. ","")&amp;IF(AND(B229&lt;&gt;"",C229&lt;&gt;"",C229&lt;B229),"Cruza la medianoche. ","")&amp;IF(LEN(TRIM(F229))&lt;15,"Sin descripción suficiente. ","")&amp;IF(AND(ISERROR(SEARCH("R-0",F229)),ISERROR(SEARCH("CU-",F229))),"Sin ticket. ","")&amp;IF(ISNA(MATCH(E229,Datos!$E$8:$E$22,0)),"Proyecto sin valor hora. ","")&amp;IF(ISNA(MATCH(D229,Datos!$A$8:$A$22,0)),"Persona fuera del equipo. ","")))</f>
        <v/>
      </c>
      <c r="I229" s="21" t="n"/>
      <c r="J229" s="22" t="n"/>
      <c r="K229" s="23">
        <f>IF(G229="","",IF(J229&lt;&gt;"",MIN(J229,G229),IF(OR(I229="Observada",I229="Rechazada"),0,G229)))</f>
        <v/>
      </c>
      <c r="L229" s="24" t="n"/>
      <c r="M229" s="25">
        <f>IF(OR(A229="",D229=""),0,IF(COUNTIFS($A$2:A229,A229,$D$2:D229,D229)=1,1,0))</f>
        <v/>
      </c>
    </row>
    <row r="230">
      <c r="A230" s="26" t="n"/>
      <c r="B230" s="27" t="n"/>
      <c r="C230" s="27" t="n"/>
      <c r="D230" s="28" t="n"/>
      <c r="E230" s="28" t="n"/>
      <c r="F230" s="29" t="n"/>
      <c r="G230" s="30" t="n"/>
      <c r="H230" s="20">
        <f>IF(A230="","",TRIM(IF(WEEKDAY(A230,2)&gt;5,"Fin de semana. ","")&amp;IF(SUMIFS($G$2:$G$601,$A$2:$A$601,A230,$D$2:$D$601,D230)&gt;9,"Más de 9 h en el día. ","")&amp;IF(AND(B230&lt;&gt;"",C230&lt;&gt;"",C230&lt;B230),"Cruza la medianoche. ","")&amp;IF(LEN(TRIM(F230))&lt;15,"Sin descripción suficiente. ","")&amp;IF(AND(ISERROR(SEARCH("R-0",F230)),ISERROR(SEARCH("CU-",F230))),"Sin ticket. ","")&amp;IF(ISNA(MATCH(E230,Datos!$E$8:$E$22,0)),"Proyecto sin valor hora. ","")&amp;IF(ISNA(MATCH(D230,Datos!$A$8:$A$22,0)),"Persona fuera del equipo. ","")))</f>
        <v/>
      </c>
      <c r="I230" s="21" t="n"/>
      <c r="J230" s="22" t="n"/>
      <c r="K230" s="23">
        <f>IF(G230="","",IF(J230&lt;&gt;"",MIN(J230,G230),IF(OR(I230="Observada",I230="Rechazada"),0,G230)))</f>
        <v/>
      </c>
      <c r="L230" s="24" t="n"/>
      <c r="M230" s="25">
        <f>IF(OR(A230="",D230=""),0,IF(COUNTIFS($A$2:A230,A230,$D$2:D230,D230)=1,1,0))</f>
        <v/>
      </c>
    </row>
    <row r="231">
      <c r="A231" s="26" t="n"/>
      <c r="B231" s="27" t="n"/>
      <c r="C231" s="27" t="n"/>
      <c r="D231" s="28" t="n"/>
      <c r="E231" s="28" t="n"/>
      <c r="F231" s="29" t="n"/>
      <c r="G231" s="30" t="n"/>
      <c r="H231" s="20">
        <f>IF(A231="","",TRIM(IF(WEEKDAY(A231,2)&gt;5,"Fin de semana. ","")&amp;IF(SUMIFS($G$2:$G$601,$A$2:$A$601,A231,$D$2:$D$601,D231)&gt;9,"Más de 9 h en el día. ","")&amp;IF(AND(B231&lt;&gt;"",C231&lt;&gt;"",C231&lt;B231),"Cruza la medianoche. ","")&amp;IF(LEN(TRIM(F231))&lt;15,"Sin descripción suficiente. ","")&amp;IF(AND(ISERROR(SEARCH("R-0",F231)),ISERROR(SEARCH("CU-",F231))),"Sin ticket. ","")&amp;IF(ISNA(MATCH(E231,Datos!$E$8:$E$22,0)),"Proyecto sin valor hora. ","")&amp;IF(ISNA(MATCH(D231,Datos!$A$8:$A$22,0)),"Persona fuera del equipo. ","")))</f>
        <v/>
      </c>
      <c r="I231" s="21" t="n"/>
      <c r="J231" s="22" t="n"/>
      <c r="K231" s="23">
        <f>IF(G231="","",IF(J231&lt;&gt;"",MIN(J231,G231),IF(OR(I231="Observada",I231="Rechazada"),0,G231)))</f>
        <v/>
      </c>
      <c r="L231" s="24" t="n"/>
      <c r="M231" s="25">
        <f>IF(OR(A231="",D231=""),0,IF(COUNTIFS($A$2:A231,A231,$D$2:D231,D231)=1,1,0))</f>
        <v/>
      </c>
    </row>
    <row r="232">
      <c r="A232" s="26" t="n"/>
      <c r="B232" s="27" t="n"/>
      <c r="C232" s="27" t="n"/>
      <c r="D232" s="28" t="n"/>
      <c r="E232" s="28" t="n"/>
      <c r="F232" s="29" t="n"/>
      <c r="G232" s="30" t="n"/>
      <c r="H232" s="20">
        <f>IF(A232="","",TRIM(IF(WEEKDAY(A232,2)&gt;5,"Fin de semana. ","")&amp;IF(SUMIFS($G$2:$G$601,$A$2:$A$601,A232,$D$2:$D$601,D232)&gt;9,"Más de 9 h en el día. ","")&amp;IF(AND(B232&lt;&gt;"",C232&lt;&gt;"",C232&lt;B232),"Cruza la medianoche. ","")&amp;IF(LEN(TRIM(F232))&lt;15,"Sin descripción suficiente. ","")&amp;IF(AND(ISERROR(SEARCH("R-0",F232)),ISERROR(SEARCH("CU-",F232))),"Sin ticket. ","")&amp;IF(ISNA(MATCH(E232,Datos!$E$8:$E$22,0)),"Proyecto sin valor hora. ","")&amp;IF(ISNA(MATCH(D232,Datos!$A$8:$A$22,0)),"Persona fuera del equipo. ","")))</f>
        <v/>
      </c>
      <c r="I232" s="21" t="n"/>
      <c r="J232" s="22" t="n"/>
      <c r="K232" s="23">
        <f>IF(G232="","",IF(J232&lt;&gt;"",MIN(J232,G232),IF(OR(I232="Observada",I232="Rechazada"),0,G232)))</f>
        <v/>
      </c>
      <c r="L232" s="24" t="n"/>
      <c r="M232" s="25">
        <f>IF(OR(A232="",D232=""),0,IF(COUNTIFS($A$2:A232,A232,$D$2:D232,D232)=1,1,0))</f>
        <v/>
      </c>
    </row>
    <row r="233">
      <c r="A233" s="26" t="n"/>
      <c r="B233" s="27" t="n"/>
      <c r="C233" s="27" t="n"/>
      <c r="D233" s="28" t="n"/>
      <c r="E233" s="28" t="n"/>
      <c r="F233" s="29" t="n"/>
      <c r="G233" s="30" t="n"/>
      <c r="H233" s="20">
        <f>IF(A233="","",TRIM(IF(WEEKDAY(A233,2)&gt;5,"Fin de semana. ","")&amp;IF(SUMIFS($G$2:$G$601,$A$2:$A$601,A233,$D$2:$D$601,D233)&gt;9,"Más de 9 h en el día. ","")&amp;IF(AND(B233&lt;&gt;"",C233&lt;&gt;"",C233&lt;B233),"Cruza la medianoche. ","")&amp;IF(LEN(TRIM(F233))&lt;15,"Sin descripción suficiente. ","")&amp;IF(AND(ISERROR(SEARCH("R-0",F233)),ISERROR(SEARCH("CU-",F233))),"Sin ticket. ","")&amp;IF(ISNA(MATCH(E233,Datos!$E$8:$E$22,0)),"Proyecto sin valor hora. ","")&amp;IF(ISNA(MATCH(D233,Datos!$A$8:$A$22,0)),"Persona fuera del equipo. ","")))</f>
        <v/>
      </c>
      <c r="I233" s="21" t="n"/>
      <c r="J233" s="22" t="n"/>
      <c r="K233" s="23">
        <f>IF(G233="","",IF(J233&lt;&gt;"",MIN(J233,G233),IF(OR(I233="Observada",I233="Rechazada"),0,G233)))</f>
        <v/>
      </c>
      <c r="L233" s="24" t="n"/>
      <c r="M233" s="25">
        <f>IF(OR(A233="",D233=""),0,IF(COUNTIFS($A$2:A233,A233,$D$2:D233,D233)=1,1,0))</f>
        <v/>
      </c>
    </row>
    <row r="234">
      <c r="A234" s="26" t="n"/>
      <c r="B234" s="27" t="n"/>
      <c r="C234" s="27" t="n"/>
      <c r="D234" s="28" t="n"/>
      <c r="E234" s="28" t="n"/>
      <c r="F234" s="29" t="n"/>
      <c r="G234" s="30" t="n"/>
      <c r="H234" s="20">
        <f>IF(A234="","",TRIM(IF(WEEKDAY(A234,2)&gt;5,"Fin de semana. ","")&amp;IF(SUMIFS($G$2:$G$601,$A$2:$A$601,A234,$D$2:$D$601,D234)&gt;9,"Más de 9 h en el día. ","")&amp;IF(AND(B234&lt;&gt;"",C234&lt;&gt;"",C234&lt;B234),"Cruza la medianoche. ","")&amp;IF(LEN(TRIM(F234))&lt;15,"Sin descripción suficiente. ","")&amp;IF(AND(ISERROR(SEARCH("R-0",F234)),ISERROR(SEARCH("CU-",F234))),"Sin ticket. ","")&amp;IF(ISNA(MATCH(E234,Datos!$E$8:$E$22,0)),"Proyecto sin valor hora. ","")&amp;IF(ISNA(MATCH(D234,Datos!$A$8:$A$22,0)),"Persona fuera del equipo. ","")))</f>
        <v/>
      </c>
      <c r="I234" s="21" t="n"/>
      <c r="J234" s="22" t="n"/>
      <c r="K234" s="23">
        <f>IF(G234="","",IF(J234&lt;&gt;"",MIN(J234,G234),IF(OR(I234="Observada",I234="Rechazada"),0,G234)))</f>
        <v/>
      </c>
      <c r="L234" s="24" t="n"/>
      <c r="M234" s="25">
        <f>IF(OR(A234="",D234=""),0,IF(COUNTIFS($A$2:A234,A234,$D$2:D234,D234)=1,1,0))</f>
        <v/>
      </c>
    </row>
    <row r="235">
      <c r="A235" s="26" t="n"/>
      <c r="B235" s="27" t="n"/>
      <c r="C235" s="27" t="n"/>
      <c r="D235" s="28" t="n"/>
      <c r="E235" s="28" t="n"/>
      <c r="F235" s="29" t="n"/>
      <c r="G235" s="30" t="n"/>
      <c r="H235" s="20">
        <f>IF(A235="","",TRIM(IF(WEEKDAY(A235,2)&gt;5,"Fin de semana. ","")&amp;IF(SUMIFS($G$2:$G$601,$A$2:$A$601,A235,$D$2:$D$601,D235)&gt;9,"Más de 9 h en el día. ","")&amp;IF(AND(B235&lt;&gt;"",C235&lt;&gt;"",C235&lt;B235),"Cruza la medianoche. ","")&amp;IF(LEN(TRIM(F235))&lt;15,"Sin descripción suficiente. ","")&amp;IF(AND(ISERROR(SEARCH("R-0",F235)),ISERROR(SEARCH("CU-",F235))),"Sin ticket. ","")&amp;IF(ISNA(MATCH(E235,Datos!$E$8:$E$22,0)),"Proyecto sin valor hora. ","")&amp;IF(ISNA(MATCH(D235,Datos!$A$8:$A$22,0)),"Persona fuera del equipo. ","")))</f>
        <v/>
      </c>
      <c r="I235" s="21" t="n"/>
      <c r="J235" s="22" t="n"/>
      <c r="K235" s="23">
        <f>IF(G235="","",IF(J235&lt;&gt;"",MIN(J235,G235),IF(OR(I235="Observada",I235="Rechazada"),0,G235)))</f>
        <v/>
      </c>
      <c r="L235" s="24" t="n"/>
      <c r="M235" s="25">
        <f>IF(OR(A235="",D235=""),0,IF(COUNTIFS($A$2:A235,A235,$D$2:D235,D235)=1,1,0))</f>
        <v/>
      </c>
    </row>
    <row r="236">
      <c r="A236" s="26" t="n"/>
      <c r="B236" s="27" t="n"/>
      <c r="C236" s="27" t="n"/>
      <c r="D236" s="28" t="n"/>
      <c r="E236" s="28" t="n"/>
      <c r="F236" s="29" t="n"/>
      <c r="G236" s="30" t="n"/>
      <c r="H236" s="20">
        <f>IF(A236="","",TRIM(IF(WEEKDAY(A236,2)&gt;5,"Fin de semana. ","")&amp;IF(SUMIFS($G$2:$G$601,$A$2:$A$601,A236,$D$2:$D$601,D236)&gt;9,"Más de 9 h en el día. ","")&amp;IF(AND(B236&lt;&gt;"",C236&lt;&gt;"",C236&lt;B236),"Cruza la medianoche. ","")&amp;IF(LEN(TRIM(F236))&lt;15,"Sin descripción suficiente. ","")&amp;IF(AND(ISERROR(SEARCH("R-0",F236)),ISERROR(SEARCH("CU-",F236))),"Sin ticket. ","")&amp;IF(ISNA(MATCH(E236,Datos!$E$8:$E$22,0)),"Proyecto sin valor hora. ","")&amp;IF(ISNA(MATCH(D236,Datos!$A$8:$A$22,0)),"Persona fuera del equipo. ","")))</f>
        <v/>
      </c>
      <c r="I236" s="21" t="n"/>
      <c r="J236" s="22" t="n"/>
      <c r="K236" s="23">
        <f>IF(G236="","",IF(J236&lt;&gt;"",MIN(J236,G236),IF(OR(I236="Observada",I236="Rechazada"),0,G236)))</f>
        <v/>
      </c>
      <c r="L236" s="24" t="n"/>
      <c r="M236" s="25">
        <f>IF(OR(A236="",D236=""),0,IF(COUNTIFS($A$2:A236,A236,$D$2:D236,D236)=1,1,0))</f>
        <v/>
      </c>
    </row>
    <row r="237">
      <c r="A237" s="26" t="n"/>
      <c r="B237" s="27" t="n"/>
      <c r="C237" s="27" t="n"/>
      <c r="D237" s="28" t="n"/>
      <c r="E237" s="28" t="n"/>
      <c r="F237" s="29" t="n"/>
      <c r="G237" s="30" t="n"/>
      <c r="H237" s="20">
        <f>IF(A237="","",TRIM(IF(WEEKDAY(A237,2)&gt;5,"Fin de semana. ","")&amp;IF(SUMIFS($G$2:$G$601,$A$2:$A$601,A237,$D$2:$D$601,D237)&gt;9,"Más de 9 h en el día. ","")&amp;IF(AND(B237&lt;&gt;"",C237&lt;&gt;"",C237&lt;B237),"Cruza la medianoche. ","")&amp;IF(LEN(TRIM(F237))&lt;15,"Sin descripción suficiente. ","")&amp;IF(AND(ISERROR(SEARCH("R-0",F237)),ISERROR(SEARCH("CU-",F237))),"Sin ticket. ","")&amp;IF(ISNA(MATCH(E237,Datos!$E$8:$E$22,0)),"Proyecto sin valor hora. ","")&amp;IF(ISNA(MATCH(D237,Datos!$A$8:$A$22,0)),"Persona fuera del equipo. ","")))</f>
        <v/>
      </c>
      <c r="I237" s="21" t="n"/>
      <c r="J237" s="22" t="n"/>
      <c r="K237" s="23">
        <f>IF(G237="","",IF(J237&lt;&gt;"",MIN(J237,G237),IF(OR(I237="Observada",I237="Rechazada"),0,G237)))</f>
        <v/>
      </c>
      <c r="L237" s="24" t="n"/>
      <c r="M237" s="25">
        <f>IF(OR(A237="",D237=""),0,IF(COUNTIFS($A$2:A237,A237,$D$2:D237,D237)=1,1,0))</f>
        <v/>
      </c>
    </row>
    <row r="238">
      <c r="A238" s="26" t="n"/>
      <c r="B238" s="27" t="n"/>
      <c r="C238" s="27" t="n"/>
      <c r="D238" s="28" t="n"/>
      <c r="E238" s="28" t="n"/>
      <c r="F238" s="29" t="n"/>
      <c r="G238" s="30" t="n"/>
      <c r="H238" s="20">
        <f>IF(A238="","",TRIM(IF(WEEKDAY(A238,2)&gt;5,"Fin de semana. ","")&amp;IF(SUMIFS($G$2:$G$601,$A$2:$A$601,A238,$D$2:$D$601,D238)&gt;9,"Más de 9 h en el día. ","")&amp;IF(AND(B238&lt;&gt;"",C238&lt;&gt;"",C238&lt;B238),"Cruza la medianoche. ","")&amp;IF(LEN(TRIM(F238))&lt;15,"Sin descripción suficiente. ","")&amp;IF(AND(ISERROR(SEARCH("R-0",F238)),ISERROR(SEARCH("CU-",F238))),"Sin ticket. ","")&amp;IF(ISNA(MATCH(E238,Datos!$E$8:$E$22,0)),"Proyecto sin valor hora. ","")&amp;IF(ISNA(MATCH(D238,Datos!$A$8:$A$22,0)),"Persona fuera del equipo. ","")))</f>
        <v/>
      </c>
      <c r="I238" s="21" t="n"/>
      <c r="J238" s="22" t="n"/>
      <c r="K238" s="23">
        <f>IF(G238="","",IF(J238&lt;&gt;"",MIN(J238,G238),IF(OR(I238="Observada",I238="Rechazada"),0,G238)))</f>
        <v/>
      </c>
      <c r="L238" s="24" t="n"/>
      <c r="M238" s="25">
        <f>IF(OR(A238="",D238=""),0,IF(COUNTIFS($A$2:A238,A238,$D$2:D238,D238)=1,1,0))</f>
        <v/>
      </c>
    </row>
    <row r="239">
      <c r="A239" s="26" t="n"/>
      <c r="B239" s="27" t="n"/>
      <c r="C239" s="27" t="n"/>
      <c r="D239" s="28" t="n"/>
      <c r="E239" s="28" t="n"/>
      <c r="F239" s="29" t="n"/>
      <c r="G239" s="30" t="n"/>
      <c r="H239" s="20">
        <f>IF(A239="","",TRIM(IF(WEEKDAY(A239,2)&gt;5,"Fin de semana. ","")&amp;IF(SUMIFS($G$2:$G$601,$A$2:$A$601,A239,$D$2:$D$601,D239)&gt;9,"Más de 9 h en el día. ","")&amp;IF(AND(B239&lt;&gt;"",C239&lt;&gt;"",C239&lt;B239),"Cruza la medianoche. ","")&amp;IF(LEN(TRIM(F239))&lt;15,"Sin descripción suficiente. ","")&amp;IF(AND(ISERROR(SEARCH("R-0",F239)),ISERROR(SEARCH("CU-",F239))),"Sin ticket. ","")&amp;IF(ISNA(MATCH(E239,Datos!$E$8:$E$22,0)),"Proyecto sin valor hora. ","")&amp;IF(ISNA(MATCH(D239,Datos!$A$8:$A$22,0)),"Persona fuera del equipo. ","")))</f>
        <v/>
      </c>
      <c r="I239" s="21" t="n"/>
      <c r="J239" s="22" t="n"/>
      <c r="K239" s="23">
        <f>IF(G239="","",IF(J239&lt;&gt;"",MIN(J239,G239),IF(OR(I239="Observada",I239="Rechazada"),0,G239)))</f>
        <v/>
      </c>
      <c r="L239" s="24" t="n"/>
      <c r="M239" s="25">
        <f>IF(OR(A239="",D239=""),0,IF(COUNTIFS($A$2:A239,A239,$D$2:D239,D239)=1,1,0))</f>
        <v/>
      </c>
    </row>
    <row r="240">
      <c r="A240" s="26" t="n"/>
      <c r="B240" s="27" t="n"/>
      <c r="C240" s="27" t="n"/>
      <c r="D240" s="28" t="n"/>
      <c r="E240" s="28" t="n"/>
      <c r="F240" s="29" t="n"/>
      <c r="G240" s="30" t="n"/>
      <c r="H240" s="20">
        <f>IF(A240="","",TRIM(IF(WEEKDAY(A240,2)&gt;5,"Fin de semana. ","")&amp;IF(SUMIFS($G$2:$G$601,$A$2:$A$601,A240,$D$2:$D$601,D240)&gt;9,"Más de 9 h en el día. ","")&amp;IF(AND(B240&lt;&gt;"",C240&lt;&gt;"",C240&lt;B240),"Cruza la medianoche. ","")&amp;IF(LEN(TRIM(F240))&lt;15,"Sin descripción suficiente. ","")&amp;IF(AND(ISERROR(SEARCH("R-0",F240)),ISERROR(SEARCH("CU-",F240))),"Sin ticket. ","")&amp;IF(ISNA(MATCH(E240,Datos!$E$8:$E$22,0)),"Proyecto sin valor hora. ","")&amp;IF(ISNA(MATCH(D240,Datos!$A$8:$A$22,0)),"Persona fuera del equipo. ","")))</f>
        <v/>
      </c>
      <c r="I240" s="21" t="n"/>
      <c r="J240" s="22" t="n"/>
      <c r="K240" s="23">
        <f>IF(G240="","",IF(J240&lt;&gt;"",MIN(J240,G240),IF(OR(I240="Observada",I240="Rechazada"),0,G240)))</f>
        <v/>
      </c>
      <c r="L240" s="24" t="n"/>
      <c r="M240" s="25">
        <f>IF(OR(A240="",D240=""),0,IF(COUNTIFS($A$2:A240,A240,$D$2:D240,D240)=1,1,0))</f>
        <v/>
      </c>
    </row>
    <row r="241">
      <c r="A241" s="26" t="n"/>
      <c r="B241" s="27" t="n"/>
      <c r="C241" s="27" t="n"/>
      <c r="D241" s="28" t="n"/>
      <c r="E241" s="28" t="n"/>
      <c r="F241" s="29" t="n"/>
      <c r="G241" s="30" t="n"/>
      <c r="H241" s="20">
        <f>IF(A241="","",TRIM(IF(WEEKDAY(A241,2)&gt;5,"Fin de semana. ","")&amp;IF(SUMIFS($G$2:$G$601,$A$2:$A$601,A241,$D$2:$D$601,D241)&gt;9,"Más de 9 h en el día. ","")&amp;IF(AND(B241&lt;&gt;"",C241&lt;&gt;"",C241&lt;B241),"Cruza la medianoche. ","")&amp;IF(LEN(TRIM(F241))&lt;15,"Sin descripción suficiente. ","")&amp;IF(AND(ISERROR(SEARCH("R-0",F241)),ISERROR(SEARCH("CU-",F241))),"Sin ticket. ","")&amp;IF(ISNA(MATCH(E241,Datos!$E$8:$E$22,0)),"Proyecto sin valor hora. ","")&amp;IF(ISNA(MATCH(D241,Datos!$A$8:$A$22,0)),"Persona fuera del equipo. ","")))</f>
        <v/>
      </c>
      <c r="I241" s="21" t="n"/>
      <c r="J241" s="22" t="n"/>
      <c r="K241" s="23">
        <f>IF(G241="","",IF(J241&lt;&gt;"",MIN(J241,G241),IF(OR(I241="Observada",I241="Rechazada"),0,G241)))</f>
        <v/>
      </c>
      <c r="L241" s="24" t="n"/>
      <c r="M241" s="25">
        <f>IF(OR(A241="",D241=""),0,IF(COUNTIFS($A$2:A241,A241,$D$2:D241,D241)=1,1,0))</f>
        <v/>
      </c>
    </row>
    <row r="242">
      <c r="A242" s="26" t="n"/>
      <c r="B242" s="27" t="n"/>
      <c r="C242" s="27" t="n"/>
      <c r="D242" s="28" t="n"/>
      <c r="E242" s="28" t="n"/>
      <c r="F242" s="29" t="n"/>
      <c r="G242" s="30" t="n"/>
      <c r="H242" s="20">
        <f>IF(A242="","",TRIM(IF(WEEKDAY(A242,2)&gt;5,"Fin de semana. ","")&amp;IF(SUMIFS($G$2:$G$601,$A$2:$A$601,A242,$D$2:$D$601,D242)&gt;9,"Más de 9 h en el día. ","")&amp;IF(AND(B242&lt;&gt;"",C242&lt;&gt;"",C242&lt;B242),"Cruza la medianoche. ","")&amp;IF(LEN(TRIM(F242))&lt;15,"Sin descripción suficiente. ","")&amp;IF(AND(ISERROR(SEARCH("R-0",F242)),ISERROR(SEARCH("CU-",F242))),"Sin ticket. ","")&amp;IF(ISNA(MATCH(E242,Datos!$E$8:$E$22,0)),"Proyecto sin valor hora. ","")&amp;IF(ISNA(MATCH(D242,Datos!$A$8:$A$22,0)),"Persona fuera del equipo. ","")))</f>
        <v/>
      </c>
      <c r="I242" s="21" t="n"/>
      <c r="J242" s="22" t="n"/>
      <c r="K242" s="23">
        <f>IF(G242="","",IF(J242&lt;&gt;"",MIN(J242,G242),IF(OR(I242="Observada",I242="Rechazada"),0,G242)))</f>
        <v/>
      </c>
      <c r="L242" s="24" t="n"/>
      <c r="M242" s="25">
        <f>IF(OR(A242="",D242=""),0,IF(COUNTIFS($A$2:A242,A242,$D$2:D242,D242)=1,1,0))</f>
        <v/>
      </c>
    </row>
    <row r="243">
      <c r="A243" s="26" t="n"/>
      <c r="B243" s="27" t="n"/>
      <c r="C243" s="27" t="n"/>
      <c r="D243" s="28" t="n"/>
      <c r="E243" s="28" t="n"/>
      <c r="F243" s="29" t="n"/>
      <c r="G243" s="30" t="n"/>
      <c r="H243" s="20">
        <f>IF(A243="","",TRIM(IF(WEEKDAY(A243,2)&gt;5,"Fin de semana. ","")&amp;IF(SUMIFS($G$2:$G$601,$A$2:$A$601,A243,$D$2:$D$601,D243)&gt;9,"Más de 9 h en el día. ","")&amp;IF(AND(B243&lt;&gt;"",C243&lt;&gt;"",C243&lt;B243),"Cruza la medianoche. ","")&amp;IF(LEN(TRIM(F243))&lt;15,"Sin descripción suficiente. ","")&amp;IF(AND(ISERROR(SEARCH("R-0",F243)),ISERROR(SEARCH("CU-",F243))),"Sin ticket. ","")&amp;IF(ISNA(MATCH(E243,Datos!$E$8:$E$22,0)),"Proyecto sin valor hora. ","")&amp;IF(ISNA(MATCH(D243,Datos!$A$8:$A$22,0)),"Persona fuera del equipo. ","")))</f>
        <v/>
      </c>
      <c r="I243" s="21" t="n"/>
      <c r="J243" s="22" t="n"/>
      <c r="K243" s="23">
        <f>IF(G243="","",IF(J243&lt;&gt;"",MIN(J243,G243),IF(OR(I243="Observada",I243="Rechazada"),0,G243)))</f>
        <v/>
      </c>
      <c r="L243" s="24" t="n"/>
      <c r="M243" s="25">
        <f>IF(OR(A243="",D243=""),0,IF(COUNTIFS($A$2:A243,A243,$D$2:D243,D243)=1,1,0))</f>
        <v/>
      </c>
    </row>
    <row r="244">
      <c r="A244" s="26" t="n"/>
      <c r="B244" s="27" t="n"/>
      <c r="C244" s="27" t="n"/>
      <c r="D244" s="28" t="n"/>
      <c r="E244" s="28" t="n"/>
      <c r="F244" s="29" t="n"/>
      <c r="G244" s="30" t="n"/>
      <c r="H244" s="20">
        <f>IF(A244="","",TRIM(IF(WEEKDAY(A244,2)&gt;5,"Fin de semana. ","")&amp;IF(SUMIFS($G$2:$G$601,$A$2:$A$601,A244,$D$2:$D$601,D244)&gt;9,"Más de 9 h en el día. ","")&amp;IF(AND(B244&lt;&gt;"",C244&lt;&gt;"",C244&lt;B244),"Cruza la medianoche. ","")&amp;IF(LEN(TRIM(F244))&lt;15,"Sin descripción suficiente. ","")&amp;IF(AND(ISERROR(SEARCH("R-0",F244)),ISERROR(SEARCH("CU-",F244))),"Sin ticket. ","")&amp;IF(ISNA(MATCH(E244,Datos!$E$8:$E$22,0)),"Proyecto sin valor hora. ","")&amp;IF(ISNA(MATCH(D244,Datos!$A$8:$A$22,0)),"Persona fuera del equipo. ","")))</f>
        <v/>
      </c>
      <c r="I244" s="21" t="n"/>
      <c r="J244" s="22" t="n"/>
      <c r="K244" s="23">
        <f>IF(G244="","",IF(J244&lt;&gt;"",MIN(J244,G244),IF(OR(I244="Observada",I244="Rechazada"),0,G244)))</f>
        <v/>
      </c>
      <c r="L244" s="24" t="n"/>
      <c r="M244" s="25">
        <f>IF(OR(A244="",D244=""),0,IF(COUNTIFS($A$2:A244,A244,$D$2:D244,D244)=1,1,0))</f>
        <v/>
      </c>
    </row>
    <row r="245">
      <c r="A245" s="26" t="n"/>
      <c r="B245" s="27" t="n"/>
      <c r="C245" s="27" t="n"/>
      <c r="D245" s="28" t="n"/>
      <c r="E245" s="28" t="n"/>
      <c r="F245" s="29" t="n"/>
      <c r="G245" s="30" t="n"/>
      <c r="H245" s="20">
        <f>IF(A245="","",TRIM(IF(WEEKDAY(A245,2)&gt;5,"Fin de semana. ","")&amp;IF(SUMIFS($G$2:$G$601,$A$2:$A$601,A245,$D$2:$D$601,D245)&gt;9,"Más de 9 h en el día. ","")&amp;IF(AND(B245&lt;&gt;"",C245&lt;&gt;"",C245&lt;B245),"Cruza la medianoche. ","")&amp;IF(LEN(TRIM(F245))&lt;15,"Sin descripción suficiente. ","")&amp;IF(AND(ISERROR(SEARCH("R-0",F245)),ISERROR(SEARCH("CU-",F245))),"Sin ticket. ","")&amp;IF(ISNA(MATCH(E245,Datos!$E$8:$E$22,0)),"Proyecto sin valor hora. ","")&amp;IF(ISNA(MATCH(D245,Datos!$A$8:$A$22,0)),"Persona fuera del equipo. ","")))</f>
        <v/>
      </c>
      <c r="I245" s="21" t="n"/>
      <c r="J245" s="22" t="n"/>
      <c r="K245" s="23">
        <f>IF(G245="","",IF(J245&lt;&gt;"",MIN(J245,G245),IF(OR(I245="Observada",I245="Rechazada"),0,G245)))</f>
        <v/>
      </c>
      <c r="L245" s="24" t="n"/>
      <c r="M245" s="25">
        <f>IF(OR(A245="",D245=""),0,IF(COUNTIFS($A$2:A245,A245,$D$2:D245,D245)=1,1,0))</f>
        <v/>
      </c>
    </row>
    <row r="246">
      <c r="A246" s="26" t="n"/>
      <c r="B246" s="27" t="n"/>
      <c r="C246" s="27" t="n"/>
      <c r="D246" s="28" t="n"/>
      <c r="E246" s="28" t="n"/>
      <c r="F246" s="29" t="n"/>
      <c r="G246" s="30" t="n"/>
      <c r="H246" s="20">
        <f>IF(A246="","",TRIM(IF(WEEKDAY(A246,2)&gt;5,"Fin de semana. ","")&amp;IF(SUMIFS($G$2:$G$601,$A$2:$A$601,A246,$D$2:$D$601,D246)&gt;9,"Más de 9 h en el día. ","")&amp;IF(AND(B246&lt;&gt;"",C246&lt;&gt;"",C246&lt;B246),"Cruza la medianoche. ","")&amp;IF(LEN(TRIM(F246))&lt;15,"Sin descripción suficiente. ","")&amp;IF(AND(ISERROR(SEARCH("R-0",F246)),ISERROR(SEARCH("CU-",F246))),"Sin ticket. ","")&amp;IF(ISNA(MATCH(E246,Datos!$E$8:$E$22,0)),"Proyecto sin valor hora. ","")&amp;IF(ISNA(MATCH(D246,Datos!$A$8:$A$22,0)),"Persona fuera del equipo. ","")))</f>
        <v/>
      </c>
      <c r="I246" s="21" t="n"/>
      <c r="J246" s="22" t="n"/>
      <c r="K246" s="23">
        <f>IF(G246="","",IF(J246&lt;&gt;"",MIN(J246,G246),IF(OR(I246="Observada",I246="Rechazada"),0,G246)))</f>
        <v/>
      </c>
      <c r="L246" s="24" t="n"/>
      <c r="M246" s="25">
        <f>IF(OR(A246="",D246=""),0,IF(COUNTIFS($A$2:A246,A246,$D$2:D246,D246)=1,1,0))</f>
        <v/>
      </c>
    </row>
    <row r="247">
      <c r="A247" s="26" t="n"/>
      <c r="B247" s="27" t="n"/>
      <c r="C247" s="27" t="n"/>
      <c r="D247" s="28" t="n"/>
      <c r="E247" s="28" t="n"/>
      <c r="F247" s="29" t="n"/>
      <c r="G247" s="30" t="n"/>
      <c r="H247" s="20">
        <f>IF(A247="","",TRIM(IF(WEEKDAY(A247,2)&gt;5,"Fin de semana. ","")&amp;IF(SUMIFS($G$2:$G$601,$A$2:$A$601,A247,$D$2:$D$601,D247)&gt;9,"Más de 9 h en el día. ","")&amp;IF(AND(B247&lt;&gt;"",C247&lt;&gt;"",C247&lt;B247),"Cruza la medianoche. ","")&amp;IF(LEN(TRIM(F247))&lt;15,"Sin descripción suficiente. ","")&amp;IF(AND(ISERROR(SEARCH("R-0",F247)),ISERROR(SEARCH("CU-",F247))),"Sin ticket. ","")&amp;IF(ISNA(MATCH(E247,Datos!$E$8:$E$22,0)),"Proyecto sin valor hora. ","")&amp;IF(ISNA(MATCH(D247,Datos!$A$8:$A$22,0)),"Persona fuera del equipo. ","")))</f>
        <v/>
      </c>
      <c r="I247" s="21" t="n"/>
      <c r="J247" s="22" t="n"/>
      <c r="K247" s="23">
        <f>IF(G247="","",IF(J247&lt;&gt;"",MIN(J247,G247),IF(OR(I247="Observada",I247="Rechazada"),0,G247)))</f>
        <v/>
      </c>
      <c r="L247" s="24" t="n"/>
      <c r="M247" s="25">
        <f>IF(OR(A247="",D247=""),0,IF(COUNTIFS($A$2:A247,A247,$D$2:D247,D247)=1,1,0))</f>
        <v/>
      </c>
    </row>
    <row r="248">
      <c r="A248" s="26" t="n"/>
      <c r="B248" s="27" t="n"/>
      <c r="C248" s="27" t="n"/>
      <c r="D248" s="28" t="n"/>
      <c r="E248" s="28" t="n"/>
      <c r="F248" s="29" t="n"/>
      <c r="G248" s="30" t="n"/>
      <c r="H248" s="20">
        <f>IF(A248="","",TRIM(IF(WEEKDAY(A248,2)&gt;5,"Fin de semana. ","")&amp;IF(SUMIFS($G$2:$G$601,$A$2:$A$601,A248,$D$2:$D$601,D248)&gt;9,"Más de 9 h en el día. ","")&amp;IF(AND(B248&lt;&gt;"",C248&lt;&gt;"",C248&lt;B248),"Cruza la medianoche. ","")&amp;IF(LEN(TRIM(F248))&lt;15,"Sin descripción suficiente. ","")&amp;IF(AND(ISERROR(SEARCH("R-0",F248)),ISERROR(SEARCH("CU-",F248))),"Sin ticket. ","")&amp;IF(ISNA(MATCH(E248,Datos!$E$8:$E$22,0)),"Proyecto sin valor hora. ","")&amp;IF(ISNA(MATCH(D248,Datos!$A$8:$A$22,0)),"Persona fuera del equipo. ","")))</f>
        <v/>
      </c>
      <c r="I248" s="21" t="n"/>
      <c r="J248" s="22" t="n"/>
      <c r="K248" s="23">
        <f>IF(G248="","",IF(J248&lt;&gt;"",MIN(J248,G248),IF(OR(I248="Observada",I248="Rechazada"),0,G248)))</f>
        <v/>
      </c>
      <c r="L248" s="24" t="n"/>
      <c r="M248" s="25">
        <f>IF(OR(A248="",D248=""),0,IF(COUNTIFS($A$2:A248,A248,$D$2:D248,D248)=1,1,0))</f>
        <v/>
      </c>
    </row>
    <row r="249">
      <c r="A249" s="26" t="n"/>
      <c r="B249" s="27" t="n"/>
      <c r="C249" s="27" t="n"/>
      <c r="D249" s="28" t="n"/>
      <c r="E249" s="28" t="n"/>
      <c r="F249" s="29" t="n"/>
      <c r="G249" s="30" t="n"/>
      <c r="H249" s="20">
        <f>IF(A249="","",TRIM(IF(WEEKDAY(A249,2)&gt;5,"Fin de semana. ","")&amp;IF(SUMIFS($G$2:$G$601,$A$2:$A$601,A249,$D$2:$D$601,D249)&gt;9,"Más de 9 h en el día. ","")&amp;IF(AND(B249&lt;&gt;"",C249&lt;&gt;"",C249&lt;B249),"Cruza la medianoche. ","")&amp;IF(LEN(TRIM(F249))&lt;15,"Sin descripción suficiente. ","")&amp;IF(AND(ISERROR(SEARCH("R-0",F249)),ISERROR(SEARCH("CU-",F249))),"Sin ticket. ","")&amp;IF(ISNA(MATCH(E249,Datos!$E$8:$E$22,0)),"Proyecto sin valor hora. ","")&amp;IF(ISNA(MATCH(D249,Datos!$A$8:$A$22,0)),"Persona fuera del equipo. ","")))</f>
        <v/>
      </c>
      <c r="I249" s="21" t="n"/>
      <c r="J249" s="22" t="n"/>
      <c r="K249" s="23">
        <f>IF(G249="","",IF(J249&lt;&gt;"",MIN(J249,G249),IF(OR(I249="Observada",I249="Rechazada"),0,G249)))</f>
        <v/>
      </c>
      <c r="L249" s="24" t="n"/>
      <c r="M249" s="25">
        <f>IF(OR(A249="",D249=""),0,IF(COUNTIFS($A$2:A249,A249,$D$2:D249,D249)=1,1,0))</f>
        <v/>
      </c>
    </row>
    <row r="250">
      <c r="A250" s="26" t="n"/>
      <c r="B250" s="27" t="n"/>
      <c r="C250" s="27" t="n"/>
      <c r="D250" s="28" t="n"/>
      <c r="E250" s="28" t="n"/>
      <c r="F250" s="29" t="n"/>
      <c r="G250" s="30" t="n"/>
      <c r="H250" s="20">
        <f>IF(A250="","",TRIM(IF(WEEKDAY(A250,2)&gt;5,"Fin de semana. ","")&amp;IF(SUMIFS($G$2:$G$601,$A$2:$A$601,A250,$D$2:$D$601,D250)&gt;9,"Más de 9 h en el día. ","")&amp;IF(AND(B250&lt;&gt;"",C250&lt;&gt;"",C250&lt;B250),"Cruza la medianoche. ","")&amp;IF(LEN(TRIM(F250))&lt;15,"Sin descripción suficiente. ","")&amp;IF(AND(ISERROR(SEARCH("R-0",F250)),ISERROR(SEARCH("CU-",F250))),"Sin ticket. ","")&amp;IF(ISNA(MATCH(E250,Datos!$E$8:$E$22,0)),"Proyecto sin valor hora. ","")&amp;IF(ISNA(MATCH(D250,Datos!$A$8:$A$22,0)),"Persona fuera del equipo. ","")))</f>
        <v/>
      </c>
      <c r="I250" s="21" t="n"/>
      <c r="J250" s="22" t="n"/>
      <c r="K250" s="23">
        <f>IF(G250="","",IF(J250&lt;&gt;"",MIN(J250,G250),IF(OR(I250="Observada",I250="Rechazada"),0,G250)))</f>
        <v/>
      </c>
      <c r="L250" s="24" t="n"/>
      <c r="M250" s="25">
        <f>IF(OR(A250="",D250=""),0,IF(COUNTIFS($A$2:A250,A250,$D$2:D250,D250)=1,1,0))</f>
        <v/>
      </c>
    </row>
    <row r="251">
      <c r="A251" s="26" t="n"/>
      <c r="B251" s="27" t="n"/>
      <c r="C251" s="27" t="n"/>
      <c r="D251" s="28" t="n"/>
      <c r="E251" s="28" t="n"/>
      <c r="F251" s="29" t="n"/>
      <c r="G251" s="30" t="n"/>
      <c r="H251" s="20">
        <f>IF(A251="","",TRIM(IF(WEEKDAY(A251,2)&gt;5,"Fin de semana. ","")&amp;IF(SUMIFS($G$2:$G$601,$A$2:$A$601,A251,$D$2:$D$601,D251)&gt;9,"Más de 9 h en el día. ","")&amp;IF(AND(B251&lt;&gt;"",C251&lt;&gt;"",C251&lt;B251),"Cruza la medianoche. ","")&amp;IF(LEN(TRIM(F251))&lt;15,"Sin descripción suficiente. ","")&amp;IF(AND(ISERROR(SEARCH("R-0",F251)),ISERROR(SEARCH("CU-",F251))),"Sin ticket. ","")&amp;IF(ISNA(MATCH(E251,Datos!$E$8:$E$22,0)),"Proyecto sin valor hora. ","")&amp;IF(ISNA(MATCH(D251,Datos!$A$8:$A$22,0)),"Persona fuera del equipo. ","")))</f>
        <v/>
      </c>
      <c r="I251" s="21" t="n"/>
      <c r="J251" s="22" t="n"/>
      <c r="K251" s="23">
        <f>IF(G251="","",IF(J251&lt;&gt;"",MIN(J251,G251),IF(OR(I251="Observada",I251="Rechazada"),0,G251)))</f>
        <v/>
      </c>
      <c r="L251" s="24" t="n"/>
      <c r="M251" s="25">
        <f>IF(OR(A251="",D251=""),0,IF(COUNTIFS($A$2:A251,A251,$D$2:D251,D251)=1,1,0))</f>
        <v/>
      </c>
    </row>
    <row r="252">
      <c r="A252" s="26" t="n"/>
      <c r="B252" s="27" t="n"/>
      <c r="C252" s="27" t="n"/>
      <c r="D252" s="28" t="n"/>
      <c r="E252" s="28" t="n"/>
      <c r="F252" s="29" t="n"/>
      <c r="G252" s="30" t="n"/>
      <c r="H252" s="20">
        <f>IF(A252="","",TRIM(IF(WEEKDAY(A252,2)&gt;5,"Fin de semana. ","")&amp;IF(SUMIFS($G$2:$G$601,$A$2:$A$601,A252,$D$2:$D$601,D252)&gt;9,"Más de 9 h en el día. ","")&amp;IF(AND(B252&lt;&gt;"",C252&lt;&gt;"",C252&lt;B252),"Cruza la medianoche. ","")&amp;IF(LEN(TRIM(F252))&lt;15,"Sin descripción suficiente. ","")&amp;IF(AND(ISERROR(SEARCH("R-0",F252)),ISERROR(SEARCH("CU-",F252))),"Sin ticket. ","")&amp;IF(ISNA(MATCH(E252,Datos!$E$8:$E$22,0)),"Proyecto sin valor hora. ","")&amp;IF(ISNA(MATCH(D252,Datos!$A$8:$A$22,0)),"Persona fuera del equipo. ","")))</f>
        <v/>
      </c>
      <c r="I252" s="21" t="n"/>
      <c r="J252" s="22" t="n"/>
      <c r="K252" s="23">
        <f>IF(G252="","",IF(J252&lt;&gt;"",MIN(J252,G252),IF(OR(I252="Observada",I252="Rechazada"),0,G252)))</f>
        <v/>
      </c>
      <c r="L252" s="24" t="n"/>
      <c r="M252" s="25">
        <f>IF(OR(A252="",D252=""),0,IF(COUNTIFS($A$2:A252,A252,$D$2:D252,D252)=1,1,0))</f>
        <v/>
      </c>
    </row>
    <row r="253">
      <c r="A253" s="26" t="n"/>
      <c r="B253" s="27" t="n"/>
      <c r="C253" s="27" t="n"/>
      <c r="D253" s="28" t="n"/>
      <c r="E253" s="28" t="n"/>
      <c r="F253" s="29" t="n"/>
      <c r="G253" s="30" t="n"/>
      <c r="H253" s="20">
        <f>IF(A253="","",TRIM(IF(WEEKDAY(A253,2)&gt;5,"Fin de semana. ","")&amp;IF(SUMIFS($G$2:$G$601,$A$2:$A$601,A253,$D$2:$D$601,D253)&gt;9,"Más de 9 h en el día. ","")&amp;IF(AND(B253&lt;&gt;"",C253&lt;&gt;"",C253&lt;B253),"Cruza la medianoche. ","")&amp;IF(LEN(TRIM(F253))&lt;15,"Sin descripción suficiente. ","")&amp;IF(AND(ISERROR(SEARCH("R-0",F253)),ISERROR(SEARCH("CU-",F253))),"Sin ticket. ","")&amp;IF(ISNA(MATCH(E253,Datos!$E$8:$E$22,0)),"Proyecto sin valor hora. ","")&amp;IF(ISNA(MATCH(D253,Datos!$A$8:$A$22,0)),"Persona fuera del equipo. ","")))</f>
        <v/>
      </c>
      <c r="I253" s="21" t="n"/>
      <c r="J253" s="22" t="n"/>
      <c r="K253" s="23">
        <f>IF(G253="","",IF(J253&lt;&gt;"",MIN(J253,G253),IF(OR(I253="Observada",I253="Rechazada"),0,G253)))</f>
        <v/>
      </c>
      <c r="L253" s="24" t="n"/>
      <c r="M253" s="25">
        <f>IF(OR(A253="",D253=""),0,IF(COUNTIFS($A$2:A253,A253,$D$2:D253,D253)=1,1,0))</f>
        <v/>
      </c>
    </row>
    <row r="254">
      <c r="A254" s="26" t="n"/>
      <c r="B254" s="27" t="n"/>
      <c r="C254" s="27" t="n"/>
      <c r="D254" s="28" t="n"/>
      <c r="E254" s="28" t="n"/>
      <c r="F254" s="29" t="n"/>
      <c r="G254" s="30" t="n"/>
      <c r="H254" s="20">
        <f>IF(A254="","",TRIM(IF(WEEKDAY(A254,2)&gt;5,"Fin de semana. ","")&amp;IF(SUMIFS($G$2:$G$601,$A$2:$A$601,A254,$D$2:$D$601,D254)&gt;9,"Más de 9 h en el día. ","")&amp;IF(AND(B254&lt;&gt;"",C254&lt;&gt;"",C254&lt;B254),"Cruza la medianoche. ","")&amp;IF(LEN(TRIM(F254))&lt;15,"Sin descripción suficiente. ","")&amp;IF(AND(ISERROR(SEARCH("R-0",F254)),ISERROR(SEARCH("CU-",F254))),"Sin ticket. ","")&amp;IF(ISNA(MATCH(E254,Datos!$E$8:$E$22,0)),"Proyecto sin valor hora. ","")&amp;IF(ISNA(MATCH(D254,Datos!$A$8:$A$22,0)),"Persona fuera del equipo. ","")))</f>
        <v/>
      </c>
      <c r="I254" s="21" t="n"/>
      <c r="J254" s="22" t="n"/>
      <c r="K254" s="23">
        <f>IF(G254="","",IF(J254&lt;&gt;"",MIN(J254,G254),IF(OR(I254="Observada",I254="Rechazada"),0,G254)))</f>
        <v/>
      </c>
      <c r="L254" s="24" t="n"/>
      <c r="M254" s="25">
        <f>IF(OR(A254="",D254=""),0,IF(COUNTIFS($A$2:A254,A254,$D$2:D254,D254)=1,1,0))</f>
        <v/>
      </c>
    </row>
    <row r="255">
      <c r="A255" s="26" t="n"/>
      <c r="B255" s="27" t="n"/>
      <c r="C255" s="27" t="n"/>
      <c r="D255" s="28" t="n"/>
      <c r="E255" s="28" t="n"/>
      <c r="F255" s="29" t="n"/>
      <c r="G255" s="30" t="n"/>
      <c r="H255" s="20">
        <f>IF(A255="","",TRIM(IF(WEEKDAY(A255,2)&gt;5,"Fin de semana. ","")&amp;IF(SUMIFS($G$2:$G$601,$A$2:$A$601,A255,$D$2:$D$601,D255)&gt;9,"Más de 9 h en el día. ","")&amp;IF(AND(B255&lt;&gt;"",C255&lt;&gt;"",C255&lt;B255),"Cruza la medianoche. ","")&amp;IF(LEN(TRIM(F255))&lt;15,"Sin descripción suficiente. ","")&amp;IF(AND(ISERROR(SEARCH("R-0",F255)),ISERROR(SEARCH("CU-",F255))),"Sin ticket. ","")&amp;IF(ISNA(MATCH(E255,Datos!$E$8:$E$22,0)),"Proyecto sin valor hora. ","")&amp;IF(ISNA(MATCH(D255,Datos!$A$8:$A$22,0)),"Persona fuera del equipo. ","")))</f>
        <v/>
      </c>
      <c r="I255" s="21" t="n"/>
      <c r="J255" s="22" t="n"/>
      <c r="K255" s="23">
        <f>IF(G255="","",IF(J255&lt;&gt;"",MIN(J255,G255),IF(OR(I255="Observada",I255="Rechazada"),0,G255)))</f>
        <v/>
      </c>
      <c r="L255" s="24" t="n"/>
      <c r="M255" s="25">
        <f>IF(OR(A255="",D255=""),0,IF(COUNTIFS($A$2:A255,A255,$D$2:D255,D255)=1,1,0))</f>
        <v/>
      </c>
    </row>
    <row r="256">
      <c r="A256" s="26" t="n"/>
      <c r="B256" s="27" t="n"/>
      <c r="C256" s="27" t="n"/>
      <c r="D256" s="28" t="n"/>
      <c r="E256" s="28" t="n"/>
      <c r="F256" s="29" t="n"/>
      <c r="G256" s="30" t="n"/>
      <c r="H256" s="20">
        <f>IF(A256="","",TRIM(IF(WEEKDAY(A256,2)&gt;5,"Fin de semana. ","")&amp;IF(SUMIFS($G$2:$G$601,$A$2:$A$601,A256,$D$2:$D$601,D256)&gt;9,"Más de 9 h en el día. ","")&amp;IF(AND(B256&lt;&gt;"",C256&lt;&gt;"",C256&lt;B256),"Cruza la medianoche. ","")&amp;IF(LEN(TRIM(F256))&lt;15,"Sin descripción suficiente. ","")&amp;IF(AND(ISERROR(SEARCH("R-0",F256)),ISERROR(SEARCH("CU-",F256))),"Sin ticket. ","")&amp;IF(ISNA(MATCH(E256,Datos!$E$8:$E$22,0)),"Proyecto sin valor hora. ","")&amp;IF(ISNA(MATCH(D256,Datos!$A$8:$A$22,0)),"Persona fuera del equipo. ","")))</f>
        <v/>
      </c>
      <c r="I256" s="21" t="n"/>
      <c r="J256" s="22" t="n"/>
      <c r="K256" s="23">
        <f>IF(G256="","",IF(J256&lt;&gt;"",MIN(J256,G256),IF(OR(I256="Observada",I256="Rechazada"),0,G256)))</f>
        <v/>
      </c>
      <c r="L256" s="24" t="n"/>
      <c r="M256" s="25">
        <f>IF(OR(A256="",D256=""),0,IF(COUNTIFS($A$2:A256,A256,$D$2:D256,D256)=1,1,0))</f>
        <v/>
      </c>
    </row>
    <row r="257">
      <c r="A257" s="26" t="n"/>
      <c r="B257" s="27" t="n"/>
      <c r="C257" s="27" t="n"/>
      <c r="D257" s="28" t="n"/>
      <c r="E257" s="28" t="n"/>
      <c r="F257" s="29" t="n"/>
      <c r="G257" s="30" t="n"/>
      <c r="H257" s="20">
        <f>IF(A257="","",TRIM(IF(WEEKDAY(A257,2)&gt;5,"Fin de semana. ","")&amp;IF(SUMIFS($G$2:$G$601,$A$2:$A$601,A257,$D$2:$D$601,D257)&gt;9,"Más de 9 h en el día. ","")&amp;IF(AND(B257&lt;&gt;"",C257&lt;&gt;"",C257&lt;B257),"Cruza la medianoche. ","")&amp;IF(LEN(TRIM(F257))&lt;15,"Sin descripción suficiente. ","")&amp;IF(AND(ISERROR(SEARCH("R-0",F257)),ISERROR(SEARCH("CU-",F257))),"Sin ticket. ","")&amp;IF(ISNA(MATCH(E257,Datos!$E$8:$E$22,0)),"Proyecto sin valor hora. ","")&amp;IF(ISNA(MATCH(D257,Datos!$A$8:$A$22,0)),"Persona fuera del equipo. ","")))</f>
        <v/>
      </c>
      <c r="I257" s="21" t="n"/>
      <c r="J257" s="22" t="n"/>
      <c r="K257" s="23">
        <f>IF(G257="","",IF(J257&lt;&gt;"",MIN(J257,G257),IF(OR(I257="Observada",I257="Rechazada"),0,G257)))</f>
        <v/>
      </c>
      <c r="L257" s="24" t="n"/>
      <c r="M257" s="25">
        <f>IF(OR(A257="",D257=""),0,IF(COUNTIFS($A$2:A257,A257,$D$2:D257,D257)=1,1,0))</f>
        <v/>
      </c>
    </row>
    <row r="258">
      <c r="A258" s="26" t="n"/>
      <c r="B258" s="27" t="n"/>
      <c r="C258" s="27" t="n"/>
      <c r="D258" s="28" t="n"/>
      <c r="E258" s="28" t="n"/>
      <c r="F258" s="29" t="n"/>
      <c r="G258" s="30" t="n"/>
      <c r="H258" s="20">
        <f>IF(A258="","",TRIM(IF(WEEKDAY(A258,2)&gt;5,"Fin de semana. ","")&amp;IF(SUMIFS($G$2:$G$601,$A$2:$A$601,A258,$D$2:$D$601,D258)&gt;9,"Más de 9 h en el día. ","")&amp;IF(AND(B258&lt;&gt;"",C258&lt;&gt;"",C258&lt;B258),"Cruza la medianoche. ","")&amp;IF(LEN(TRIM(F258))&lt;15,"Sin descripción suficiente. ","")&amp;IF(AND(ISERROR(SEARCH("R-0",F258)),ISERROR(SEARCH("CU-",F258))),"Sin ticket. ","")&amp;IF(ISNA(MATCH(E258,Datos!$E$8:$E$22,0)),"Proyecto sin valor hora. ","")&amp;IF(ISNA(MATCH(D258,Datos!$A$8:$A$22,0)),"Persona fuera del equipo. ","")))</f>
        <v/>
      </c>
      <c r="I258" s="21" t="n"/>
      <c r="J258" s="22" t="n"/>
      <c r="K258" s="23">
        <f>IF(G258="","",IF(J258&lt;&gt;"",MIN(J258,G258),IF(OR(I258="Observada",I258="Rechazada"),0,G258)))</f>
        <v/>
      </c>
      <c r="L258" s="24" t="n"/>
      <c r="M258" s="25">
        <f>IF(OR(A258="",D258=""),0,IF(COUNTIFS($A$2:A258,A258,$D$2:D258,D258)=1,1,0))</f>
        <v/>
      </c>
    </row>
    <row r="259">
      <c r="A259" s="26" t="n"/>
      <c r="B259" s="27" t="n"/>
      <c r="C259" s="27" t="n"/>
      <c r="D259" s="28" t="n"/>
      <c r="E259" s="28" t="n"/>
      <c r="F259" s="29" t="n"/>
      <c r="G259" s="30" t="n"/>
      <c r="H259" s="20">
        <f>IF(A259="","",TRIM(IF(WEEKDAY(A259,2)&gt;5,"Fin de semana. ","")&amp;IF(SUMIFS($G$2:$G$601,$A$2:$A$601,A259,$D$2:$D$601,D259)&gt;9,"Más de 9 h en el día. ","")&amp;IF(AND(B259&lt;&gt;"",C259&lt;&gt;"",C259&lt;B259),"Cruza la medianoche. ","")&amp;IF(LEN(TRIM(F259))&lt;15,"Sin descripción suficiente. ","")&amp;IF(AND(ISERROR(SEARCH("R-0",F259)),ISERROR(SEARCH("CU-",F259))),"Sin ticket. ","")&amp;IF(ISNA(MATCH(E259,Datos!$E$8:$E$22,0)),"Proyecto sin valor hora. ","")&amp;IF(ISNA(MATCH(D259,Datos!$A$8:$A$22,0)),"Persona fuera del equipo. ","")))</f>
        <v/>
      </c>
      <c r="I259" s="21" t="n"/>
      <c r="J259" s="22" t="n"/>
      <c r="K259" s="23">
        <f>IF(G259="","",IF(J259&lt;&gt;"",MIN(J259,G259),IF(OR(I259="Observada",I259="Rechazada"),0,G259)))</f>
        <v/>
      </c>
      <c r="L259" s="24" t="n"/>
      <c r="M259" s="25">
        <f>IF(OR(A259="",D259=""),0,IF(COUNTIFS($A$2:A259,A259,$D$2:D259,D259)=1,1,0))</f>
        <v/>
      </c>
    </row>
    <row r="260">
      <c r="A260" s="26" t="n"/>
      <c r="B260" s="27" t="n"/>
      <c r="C260" s="27" t="n"/>
      <c r="D260" s="28" t="n"/>
      <c r="E260" s="28" t="n"/>
      <c r="F260" s="29" t="n"/>
      <c r="G260" s="30" t="n"/>
      <c r="H260" s="20">
        <f>IF(A260="","",TRIM(IF(WEEKDAY(A260,2)&gt;5,"Fin de semana. ","")&amp;IF(SUMIFS($G$2:$G$601,$A$2:$A$601,A260,$D$2:$D$601,D260)&gt;9,"Más de 9 h en el día. ","")&amp;IF(AND(B260&lt;&gt;"",C260&lt;&gt;"",C260&lt;B260),"Cruza la medianoche. ","")&amp;IF(LEN(TRIM(F260))&lt;15,"Sin descripción suficiente. ","")&amp;IF(AND(ISERROR(SEARCH("R-0",F260)),ISERROR(SEARCH("CU-",F260))),"Sin ticket. ","")&amp;IF(ISNA(MATCH(E260,Datos!$E$8:$E$22,0)),"Proyecto sin valor hora. ","")&amp;IF(ISNA(MATCH(D260,Datos!$A$8:$A$22,0)),"Persona fuera del equipo. ","")))</f>
        <v/>
      </c>
      <c r="I260" s="21" t="n"/>
      <c r="J260" s="22" t="n"/>
      <c r="K260" s="23">
        <f>IF(G260="","",IF(J260&lt;&gt;"",MIN(J260,G260),IF(OR(I260="Observada",I260="Rechazada"),0,G260)))</f>
        <v/>
      </c>
      <c r="L260" s="24" t="n"/>
      <c r="M260" s="25">
        <f>IF(OR(A260="",D260=""),0,IF(COUNTIFS($A$2:A260,A260,$D$2:D260,D260)=1,1,0))</f>
        <v/>
      </c>
    </row>
    <row r="261">
      <c r="A261" s="26" t="n"/>
      <c r="B261" s="27" t="n"/>
      <c r="C261" s="27" t="n"/>
      <c r="D261" s="28" t="n"/>
      <c r="E261" s="28" t="n"/>
      <c r="F261" s="29" t="n"/>
      <c r="G261" s="30" t="n"/>
      <c r="H261" s="20">
        <f>IF(A261="","",TRIM(IF(WEEKDAY(A261,2)&gt;5,"Fin de semana. ","")&amp;IF(SUMIFS($G$2:$G$601,$A$2:$A$601,A261,$D$2:$D$601,D261)&gt;9,"Más de 9 h en el día. ","")&amp;IF(AND(B261&lt;&gt;"",C261&lt;&gt;"",C261&lt;B261),"Cruza la medianoche. ","")&amp;IF(LEN(TRIM(F261))&lt;15,"Sin descripción suficiente. ","")&amp;IF(AND(ISERROR(SEARCH("R-0",F261)),ISERROR(SEARCH("CU-",F261))),"Sin ticket. ","")&amp;IF(ISNA(MATCH(E261,Datos!$E$8:$E$22,0)),"Proyecto sin valor hora. ","")&amp;IF(ISNA(MATCH(D261,Datos!$A$8:$A$22,0)),"Persona fuera del equipo. ","")))</f>
        <v/>
      </c>
      <c r="I261" s="21" t="n"/>
      <c r="J261" s="22" t="n"/>
      <c r="K261" s="23">
        <f>IF(G261="","",IF(J261&lt;&gt;"",MIN(J261,G261),IF(OR(I261="Observada",I261="Rechazada"),0,G261)))</f>
        <v/>
      </c>
      <c r="L261" s="24" t="n"/>
      <c r="M261" s="25">
        <f>IF(OR(A261="",D261=""),0,IF(COUNTIFS($A$2:A261,A261,$D$2:D261,D261)=1,1,0))</f>
        <v/>
      </c>
    </row>
    <row r="262">
      <c r="A262" s="26" t="n"/>
      <c r="B262" s="27" t="n"/>
      <c r="C262" s="27" t="n"/>
      <c r="D262" s="28" t="n"/>
      <c r="E262" s="28" t="n"/>
      <c r="F262" s="29" t="n"/>
      <c r="G262" s="30" t="n"/>
      <c r="H262" s="20">
        <f>IF(A262="","",TRIM(IF(WEEKDAY(A262,2)&gt;5,"Fin de semana. ","")&amp;IF(SUMIFS($G$2:$G$601,$A$2:$A$601,A262,$D$2:$D$601,D262)&gt;9,"Más de 9 h en el día. ","")&amp;IF(AND(B262&lt;&gt;"",C262&lt;&gt;"",C262&lt;B262),"Cruza la medianoche. ","")&amp;IF(LEN(TRIM(F262))&lt;15,"Sin descripción suficiente. ","")&amp;IF(AND(ISERROR(SEARCH("R-0",F262)),ISERROR(SEARCH("CU-",F262))),"Sin ticket. ","")&amp;IF(ISNA(MATCH(E262,Datos!$E$8:$E$22,0)),"Proyecto sin valor hora. ","")&amp;IF(ISNA(MATCH(D262,Datos!$A$8:$A$22,0)),"Persona fuera del equipo. ","")))</f>
        <v/>
      </c>
      <c r="I262" s="21" t="n"/>
      <c r="J262" s="22" t="n"/>
      <c r="K262" s="23">
        <f>IF(G262="","",IF(J262&lt;&gt;"",MIN(J262,G262),IF(OR(I262="Observada",I262="Rechazada"),0,G262)))</f>
        <v/>
      </c>
      <c r="L262" s="24" t="n"/>
      <c r="M262" s="25">
        <f>IF(OR(A262="",D262=""),0,IF(COUNTIFS($A$2:A262,A262,$D$2:D262,D262)=1,1,0))</f>
        <v/>
      </c>
    </row>
    <row r="263">
      <c r="A263" s="26" t="n"/>
      <c r="B263" s="27" t="n"/>
      <c r="C263" s="27" t="n"/>
      <c r="D263" s="28" t="n"/>
      <c r="E263" s="28" t="n"/>
      <c r="F263" s="29" t="n"/>
      <c r="G263" s="30" t="n"/>
      <c r="H263" s="20">
        <f>IF(A263="","",TRIM(IF(WEEKDAY(A263,2)&gt;5,"Fin de semana. ","")&amp;IF(SUMIFS($G$2:$G$601,$A$2:$A$601,A263,$D$2:$D$601,D263)&gt;9,"Más de 9 h en el día. ","")&amp;IF(AND(B263&lt;&gt;"",C263&lt;&gt;"",C263&lt;B263),"Cruza la medianoche. ","")&amp;IF(LEN(TRIM(F263))&lt;15,"Sin descripción suficiente. ","")&amp;IF(AND(ISERROR(SEARCH("R-0",F263)),ISERROR(SEARCH("CU-",F263))),"Sin ticket. ","")&amp;IF(ISNA(MATCH(E263,Datos!$E$8:$E$22,0)),"Proyecto sin valor hora. ","")&amp;IF(ISNA(MATCH(D263,Datos!$A$8:$A$22,0)),"Persona fuera del equipo. ","")))</f>
        <v/>
      </c>
      <c r="I263" s="21" t="n"/>
      <c r="J263" s="22" t="n"/>
      <c r="K263" s="23">
        <f>IF(G263="","",IF(J263&lt;&gt;"",MIN(J263,G263),IF(OR(I263="Observada",I263="Rechazada"),0,G263)))</f>
        <v/>
      </c>
      <c r="L263" s="24" t="n"/>
      <c r="M263" s="25">
        <f>IF(OR(A263="",D263=""),0,IF(COUNTIFS($A$2:A263,A263,$D$2:D263,D263)=1,1,0))</f>
        <v/>
      </c>
    </row>
    <row r="264">
      <c r="A264" s="26" t="n"/>
      <c r="B264" s="27" t="n"/>
      <c r="C264" s="27" t="n"/>
      <c r="D264" s="28" t="n"/>
      <c r="E264" s="28" t="n"/>
      <c r="F264" s="29" t="n"/>
      <c r="G264" s="30" t="n"/>
      <c r="H264" s="20">
        <f>IF(A264="","",TRIM(IF(WEEKDAY(A264,2)&gt;5,"Fin de semana. ","")&amp;IF(SUMIFS($G$2:$G$601,$A$2:$A$601,A264,$D$2:$D$601,D264)&gt;9,"Más de 9 h en el día. ","")&amp;IF(AND(B264&lt;&gt;"",C264&lt;&gt;"",C264&lt;B264),"Cruza la medianoche. ","")&amp;IF(LEN(TRIM(F264))&lt;15,"Sin descripción suficiente. ","")&amp;IF(AND(ISERROR(SEARCH("R-0",F264)),ISERROR(SEARCH("CU-",F264))),"Sin ticket. ","")&amp;IF(ISNA(MATCH(E264,Datos!$E$8:$E$22,0)),"Proyecto sin valor hora. ","")&amp;IF(ISNA(MATCH(D264,Datos!$A$8:$A$22,0)),"Persona fuera del equipo. ","")))</f>
        <v/>
      </c>
      <c r="I264" s="21" t="n"/>
      <c r="J264" s="22" t="n"/>
      <c r="K264" s="23">
        <f>IF(G264="","",IF(J264&lt;&gt;"",MIN(J264,G264),IF(OR(I264="Observada",I264="Rechazada"),0,G264)))</f>
        <v/>
      </c>
      <c r="L264" s="24" t="n"/>
      <c r="M264" s="25">
        <f>IF(OR(A264="",D264=""),0,IF(COUNTIFS($A$2:A264,A264,$D$2:D264,D264)=1,1,0))</f>
        <v/>
      </c>
    </row>
    <row r="265">
      <c r="A265" s="26" t="n"/>
      <c r="B265" s="27" t="n"/>
      <c r="C265" s="27" t="n"/>
      <c r="D265" s="28" t="n"/>
      <c r="E265" s="28" t="n"/>
      <c r="F265" s="29" t="n"/>
      <c r="G265" s="30" t="n"/>
      <c r="H265" s="20">
        <f>IF(A265="","",TRIM(IF(WEEKDAY(A265,2)&gt;5,"Fin de semana. ","")&amp;IF(SUMIFS($G$2:$G$601,$A$2:$A$601,A265,$D$2:$D$601,D265)&gt;9,"Más de 9 h en el día. ","")&amp;IF(AND(B265&lt;&gt;"",C265&lt;&gt;"",C265&lt;B265),"Cruza la medianoche. ","")&amp;IF(LEN(TRIM(F265))&lt;15,"Sin descripción suficiente. ","")&amp;IF(AND(ISERROR(SEARCH("R-0",F265)),ISERROR(SEARCH("CU-",F265))),"Sin ticket. ","")&amp;IF(ISNA(MATCH(E265,Datos!$E$8:$E$22,0)),"Proyecto sin valor hora. ","")&amp;IF(ISNA(MATCH(D265,Datos!$A$8:$A$22,0)),"Persona fuera del equipo. ","")))</f>
        <v/>
      </c>
      <c r="I265" s="21" t="n"/>
      <c r="J265" s="22" t="n"/>
      <c r="K265" s="23">
        <f>IF(G265="","",IF(J265&lt;&gt;"",MIN(J265,G265),IF(OR(I265="Observada",I265="Rechazada"),0,G265)))</f>
        <v/>
      </c>
      <c r="L265" s="24" t="n"/>
      <c r="M265" s="25">
        <f>IF(OR(A265="",D265=""),0,IF(COUNTIFS($A$2:A265,A265,$D$2:D265,D265)=1,1,0))</f>
        <v/>
      </c>
    </row>
    <row r="266">
      <c r="A266" s="26" t="n"/>
      <c r="B266" s="27" t="n"/>
      <c r="C266" s="27" t="n"/>
      <c r="D266" s="28" t="n"/>
      <c r="E266" s="28" t="n"/>
      <c r="F266" s="29" t="n"/>
      <c r="G266" s="30" t="n"/>
      <c r="H266" s="20">
        <f>IF(A266="","",TRIM(IF(WEEKDAY(A266,2)&gt;5,"Fin de semana. ","")&amp;IF(SUMIFS($G$2:$G$601,$A$2:$A$601,A266,$D$2:$D$601,D266)&gt;9,"Más de 9 h en el día. ","")&amp;IF(AND(B266&lt;&gt;"",C266&lt;&gt;"",C266&lt;B266),"Cruza la medianoche. ","")&amp;IF(LEN(TRIM(F266))&lt;15,"Sin descripción suficiente. ","")&amp;IF(AND(ISERROR(SEARCH("R-0",F266)),ISERROR(SEARCH("CU-",F266))),"Sin ticket. ","")&amp;IF(ISNA(MATCH(E266,Datos!$E$8:$E$22,0)),"Proyecto sin valor hora. ","")&amp;IF(ISNA(MATCH(D266,Datos!$A$8:$A$22,0)),"Persona fuera del equipo. ","")))</f>
        <v/>
      </c>
      <c r="I266" s="21" t="n"/>
      <c r="J266" s="22" t="n"/>
      <c r="K266" s="23">
        <f>IF(G266="","",IF(J266&lt;&gt;"",MIN(J266,G266),IF(OR(I266="Observada",I266="Rechazada"),0,G266)))</f>
        <v/>
      </c>
      <c r="L266" s="24" t="n"/>
      <c r="M266" s="25">
        <f>IF(OR(A266="",D266=""),0,IF(COUNTIFS($A$2:A266,A266,$D$2:D266,D266)=1,1,0))</f>
        <v/>
      </c>
    </row>
    <row r="267">
      <c r="A267" s="26" t="n"/>
      <c r="B267" s="27" t="n"/>
      <c r="C267" s="27" t="n"/>
      <c r="D267" s="28" t="n"/>
      <c r="E267" s="28" t="n"/>
      <c r="F267" s="29" t="n"/>
      <c r="G267" s="30" t="n"/>
      <c r="H267" s="20">
        <f>IF(A267="","",TRIM(IF(WEEKDAY(A267,2)&gt;5,"Fin de semana. ","")&amp;IF(SUMIFS($G$2:$G$601,$A$2:$A$601,A267,$D$2:$D$601,D267)&gt;9,"Más de 9 h en el día. ","")&amp;IF(AND(B267&lt;&gt;"",C267&lt;&gt;"",C267&lt;B267),"Cruza la medianoche. ","")&amp;IF(LEN(TRIM(F267))&lt;15,"Sin descripción suficiente. ","")&amp;IF(AND(ISERROR(SEARCH("R-0",F267)),ISERROR(SEARCH("CU-",F267))),"Sin ticket. ","")&amp;IF(ISNA(MATCH(E267,Datos!$E$8:$E$22,0)),"Proyecto sin valor hora. ","")&amp;IF(ISNA(MATCH(D267,Datos!$A$8:$A$22,0)),"Persona fuera del equipo. ","")))</f>
        <v/>
      </c>
      <c r="I267" s="21" t="n"/>
      <c r="J267" s="22" t="n"/>
      <c r="K267" s="23">
        <f>IF(G267="","",IF(J267&lt;&gt;"",MIN(J267,G267),IF(OR(I267="Observada",I267="Rechazada"),0,G267)))</f>
        <v/>
      </c>
      <c r="L267" s="24" t="n"/>
      <c r="M267" s="25">
        <f>IF(OR(A267="",D267=""),0,IF(COUNTIFS($A$2:A267,A267,$D$2:D267,D267)=1,1,0))</f>
        <v/>
      </c>
    </row>
    <row r="268">
      <c r="A268" s="26" t="n"/>
      <c r="B268" s="27" t="n"/>
      <c r="C268" s="27" t="n"/>
      <c r="D268" s="28" t="n"/>
      <c r="E268" s="28" t="n"/>
      <c r="F268" s="29" t="n"/>
      <c r="G268" s="30" t="n"/>
      <c r="H268" s="20">
        <f>IF(A268="","",TRIM(IF(WEEKDAY(A268,2)&gt;5,"Fin de semana. ","")&amp;IF(SUMIFS($G$2:$G$601,$A$2:$A$601,A268,$D$2:$D$601,D268)&gt;9,"Más de 9 h en el día. ","")&amp;IF(AND(B268&lt;&gt;"",C268&lt;&gt;"",C268&lt;B268),"Cruza la medianoche. ","")&amp;IF(LEN(TRIM(F268))&lt;15,"Sin descripción suficiente. ","")&amp;IF(AND(ISERROR(SEARCH("R-0",F268)),ISERROR(SEARCH("CU-",F268))),"Sin ticket. ","")&amp;IF(ISNA(MATCH(E268,Datos!$E$8:$E$22,0)),"Proyecto sin valor hora. ","")&amp;IF(ISNA(MATCH(D268,Datos!$A$8:$A$22,0)),"Persona fuera del equipo. ","")))</f>
        <v/>
      </c>
      <c r="I268" s="21" t="n"/>
      <c r="J268" s="22" t="n"/>
      <c r="K268" s="23">
        <f>IF(G268="","",IF(J268&lt;&gt;"",MIN(J268,G268),IF(OR(I268="Observada",I268="Rechazada"),0,G268)))</f>
        <v/>
      </c>
      <c r="L268" s="24" t="n"/>
      <c r="M268" s="25">
        <f>IF(OR(A268="",D268=""),0,IF(COUNTIFS($A$2:A268,A268,$D$2:D268,D268)=1,1,0))</f>
        <v/>
      </c>
    </row>
    <row r="269">
      <c r="A269" s="26" t="n"/>
      <c r="B269" s="27" t="n"/>
      <c r="C269" s="27" t="n"/>
      <c r="D269" s="28" t="n"/>
      <c r="E269" s="28" t="n"/>
      <c r="F269" s="29" t="n"/>
      <c r="G269" s="30" t="n"/>
      <c r="H269" s="20">
        <f>IF(A269="","",TRIM(IF(WEEKDAY(A269,2)&gt;5,"Fin de semana. ","")&amp;IF(SUMIFS($G$2:$G$601,$A$2:$A$601,A269,$D$2:$D$601,D269)&gt;9,"Más de 9 h en el día. ","")&amp;IF(AND(B269&lt;&gt;"",C269&lt;&gt;"",C269&lt;B269),"Cruza la medianoche. ","")&amp;IF(LEN(TRIM(F269))&lt;15,"Sin descripción suficiente. ","")&amp;IF(AND(ISERROR(SEARCH("R-0",F269)),ISERROR(SEARCH("CU-",F269))),"Sin ticket. ","")&amp;IF(ISNA(MATCH(E269,Datos!$E$8:$E$22,0)),"Proyecto sin valor hora. ","")&amp;IF(ISNA(MATCH(D269,Datos!$A$8:$A$22,0)),"Persona fuera del equipo. ","")))</f>
        <v/>
      </c>
      <c r="I269" s="21" t="n"/>
      <c r="J269" s="22" t="n"/>
      <c r="K269" s="23">
        <f>IF(G269="","",IF(J269&lt;&gt;"",MIN(J269,G269),IF(OR(I269="Observada",I269="Rechazada"),0,G269)))</f>
        <v/>
      </c>
      <c r="L269" s="24" t="n"/>
      <c r="M269" s="25">
        <f>IF(OR(A269="",D269=""),0,IF(COUNTIFS($A$2:A269,A269,$D$2:D269,D269)=1,1,0))</f>
        <v/>
      </c>
    </row>
    <row r="270">
      <c r="A270" s="26" t="n"/>
      <c r="B270" s="27" t="n"/>
      <c r="C270" s="27" t="n"/>
      <c r="D270" s="28" t="n"/>
      <c r="E270" s="28" t="n"/>
      <c r="F270" s="29" t="n"/>
      <c r="G270" s="30" t="n"/>
      <c r="H270" s="20">
        <f>IF(A270="","",TRIM(IF(WEEKDAY(A270,2)&gt;5,"Fin de semana. ","")&amp;IF(SUMIFS($G$2:$G$601,$A$2:$A$601,A270,$D$2:$D$601,D270)&gt;9,"Más de 9 h en el día. ","")&amp;IF(AND(B270&lt;&gt;"",C270&lt;&gt;"",C270&lt;B270),"Cruza la medianoche. ","")&amp;IF(LEN(TRIM(F270))&lt;15,"Sin descripción suficiente. ","")&amp;IF(AND(ISERROR(SEARCH("R-0",F270)),ISERROR(SEARCH("CU-",F270))),"Sin ticket. ","")&amp;IF(ISNA(MATCH(E270,Datos!$E$8:$E$22,0)),"Proyecto sin valor hora. ","")&amp;IF(ISNA(MATCH(D270,Datos!$A$8:$A$22,0)),"Persona fuera del equipo. ","")))</f>
        <v/>
      </c>
      <c r="I270" s="21" t="n"/>
      <c r="J270" s="22" t="n"/>
      <c r="K270" s="23">
        <f>IF(G270="","",IF(J270&lt;&gt;"",MIN(J270,G270),IF(OR(I270="Observada",I270="Rechazada"),0,G270)))</f>
        <v/>
      </c>
      <c r="L270" s="24" t="n"/>
      <c r="M270" s="25">
        <f>IF(OR(A270="",D270=""),0,IF(COUNTIFS($A$2:A270,A270,$D$2:D270,D270)=1,1,0))</f>
        <v/>
      </c>
    </row>
    <row r="271">
      <c r="A271" s="26" t="n"/>
      <c r="B271" s="27" t="n"/>
      <c r="C271" s="27" t="n"/>
      <c r="D271" s="28" t="n"/>
      <c r="E271" s="28" t="n"/>
      <c r="F271" s="29" t="n"/>
      <c r="G271" s="30" t="n"/>
      <c r="H271" s="20">
        <f>IF(A271="","",TRIM(IF(WEEKDAY(A271,2)&gt;5,"Fin de semana. ","")&amp;IF(SUMIFS($G$2:$G$601,$A$2:$A$601,A271,$D$2:$D$601,D271)&gt;9,"Más de 9 h en el día. ","")&amp;IF(AND(B271&lt;&gt;"",C271&lt;&gt;"",C271&lt;B271),"Cruza la medianoche. ","")&amp;IF(LEN(TRIM(F271))&lt;15,"Sin descripción suficiente. ","")&amp;IF(AND(ISERROR(SEARCH("R-0",F271)),ISERROR(SEARCH("CU-",F271))),"Sin ticket. ","")&amp;IF(ISNA(MATCH(E271,Datos!$E$8:$E$22,0)),"Proyecto sin valor hora. ","")&amp;IF(ISNA(MATCH(D271,Datos!$A$8:$A$22,0)),"Persona fuera del equipo. ","")))</f>
        <v/>
      </c>
      <c r="I271" s="21" t="n"/>
      <c r="J271" s="22" t="n"/>
      <c r="K271" s="23">
        <f>IF(G271="","",IF(J271&lt;&gt;"",MIN(J271,G271),IF(OR(I271="Observada",I271="Rechazada"),0,G271)))</f>
        <v/>
      </c>
      <c r="L271" s="24" t="n"/>
      <c r="M271" s="25">
        <f>IF(OR(A271="",D271=""),0,IF(COUNTIFS($A$2:A271,A271,$D$2:D271,D271)=1,1,0))</f>
        <v/>
      </c>
    </row>
    <row r="272">
      <c r="A272" s="26" t="n"/>
      <c r="B272" s="27" t="n"/>
      <c r="C272" s="27" t="n"/>
      <c r="D272" s="28" t="n"/>
      <c r="E272" s="28" t="n"/>
      <c r="F272" s="29" t="n"/>
      <c r="G272" s="30" t="n"/>
      <c r="H272" s="20">
        <f>IF(A272="","",TRIM(IF(WEEKDAY(A272,2)&gt;5,"Fin de semana. ","")&amp;IF(SUMIFS($G$2:$G$601,$A$2:$A$601,A272,$D$2:$D$601,D272)&gt;9,"Más de 9 h en el día. ","")&amp;IF(AND(B272&lt;&gt;"",C272&lt;&gt;"",C272&lt;B272),"Cruza la medianoche. ","")&amp;IF(LEN(TRIM(F272))&lt;15,"Sin descripción suficiente. ","")&amp;IF(AND(ISERROR(SEARCH("R-0",F272)),ISERROR(SEARCH("CU-",F272))),"Sin ticket. ","")&amp;IF(ISNA(MATCH(E272,Datos!$E$8:$E$22,0)),"Proyecto sin valor hora. ","")&amp;IF(ISNA(MATCH(D272,Datos!$A$8:$A$22,0)),"Persona fuera del equipo. ","")))</f>
        <v/>
      </c>
      <c r="I272" s="21" t="n"/>
      <c r="J272" s="22" t="n"/>
      <c r="K272" s="23">
        <f>IF(G272="","",IF(J272&lt;&gt;"",MIN(J272,G272),IF(OR(I272="Observada",I272="Rechazada"),0,G272)))</f>
        <v/>
      </c>
      <c r="L272" s="24" t="n"/>
      <c r="M272" s="25">
        <f>IF(OR(A272="",D272=""),0,IF(COUNTIFS($A$2:A272,A272,$D$2:D272,D272)=1,1,0))</f>
        <v/>
      </c>
    </row>
    <row r="273">
      <c r="A273" s="26" t="n"/>
      <c r="B273" s="27" t="n"/>
      <c r="C273" s="27" t="n"/>
      <c r="D273" s="28" t="n"/>
      <c r="E273" s="28" t="n"/>
      <c r="F273" s="29" t="n"/>
      <c r="G273" s="30" t="n"/>
      <c r="H273" s="20">
        <f>IF(A273="","",TRIM(IF(WEEKDAY(A273,2)&gt;5,"Fin de semana. ","")&amp;IF(SUMIFS($G$2:$G$601,$A$2:$A$601,A273,$D$2:$D$601,D273)&gt;9,"Más de 9 h en el día. ","")&amp;IF(AND(B273&lt;&gt;"",C273&lt;&gt;"",C273&lt;B273),"Cruza la medianoche. ","")&amp;IF(LEN(TRIM(F273))&lt;15,"Sin descripción suficiente. ","")&amp;IF(AND(ISERROR(SEARCH("R-0",F273)),ISERROR(SEARCH("CU-",F273))),"Sin ticket. ","")&amp;IF(ISNA(MATCH(E273,Datos!$E$8:$E$22,0)),"Proyecto sin valor hora. ","")&amp;IF(ISNA(MATCH(D273,Datos!$A$8:$A$22,0)),"Persona fuera del equipo. ","")))</f>
        <v/>
      </c>
      <c r="I273" s="21" t="n"/>
      <c r="J273" s="22" t="n"/>
      <c r="K273" s="23">
        <f>IF(G273="","",IF(J273&lt;&gt;"",MIN(J273,G273),IF(OR(I273="Observada",I273="Rechazada"),0,G273)))</f>
        <v/>
      </c>
      <c r="L273" s="24" t="n"/>
      <c r="M273" s="25">
        <f>IF(OR(A273="",D273=""),0,IF(COUNTIFS($A$2:A273,A273,$D$2:D273,D273)=1,1,0))</f>
        <v/>
      </c>
    </row>
    <row r="274">
      <c r="A274" s="26" t="n"/>
      <c r="B274" s="27" t="n"/>
      <c r="C274" s="27" t="n"/>
      <c r="D274" s="28" t="n"/>
      <c r="E274" s="28" t="n"/>
      <c r="F274" s="29" t="n"/>
      <c r="G274" s="30" t="n"/>
      <c r="H274" s="20">
        <f>IF(A274="","",TRIM(IF(WEEKDAY(A274,2)&gt;5,"Fin de semana. ","")&amp;IF(SUMIFS($G$2:$G$601,$A$2:$A$601,A274,$D$2:$D$601,D274)&gt;9,"Más de 9 h en el día. ","")&amp;IF(AND(B274&lt;&gt;"",C274&lt;&gt;"",C274&lt;B274),"Cruza la medianoche. ","")&amp;IF(LEN(TRIM(F274))&lt;15,"Sin descripción suficiente. ","")&amp;IF(AND(ISERROR(SEARCH("R-0",F274)),ISERROR(SEARCH("CU-",F274))),"Sin ticket. ","")&amp;IF(ISNA(MATCH(E274,Datos!$E$8:$E$22,0)),"Proyecto sin valor hora. ","")&amp;IF(ISNA(MATCH(D274,Datos!$A$8:$A$22,0)),"Persona fuera del equipo. ","")))</f>
        <v/>
      </c>
      <c r="I274" s="21" t="n"/>
      <c r="J274" s="22" t="n"/>
      <c r="K274" s="23">
        <f>IF(G274="","",IF(J274&lt;&gt;"",MIN(J274,G274),IF(OR(I274="Observada",I274="Rechazada"),0,G274)))</f>
        <v/>
      </c>
      <c r="L274" s="24" t="n"/>
      <c r="M274" s="25">
        <f>IF(OR(A274="",D274=""),0,IF(COUNTIFS($A$2:A274,A274,$D$2:D274,D274)=1,1,0))</f>
        <v/>
      </c>
    </row>
    <row r="275">
      <c r="A275" s="26" t="n"/>
      <c r="B275" s="27" t="n"/>
      <c r="C275" s="27" t="n"/>
      <c r="D275" s="28" t="n"/>
      <c r="E275" s="28" t="n"/>
      <c r="F275" s="29" t="n"/>
      <c r="G275" s="30" t="n"/>
      <c r="H275" s="20">
        <f>IF(A275="","",TRIM(IF(WEEKDAY(A275,2)&gt;5,"Fin de semana. ","")&amp;IF(SUMIFS($G$2:$G$601,$A$2:$A$601,A275,$D$2:$D$601,D275)&gt;9,"Más de 9 h en el día. ","")&amp;IF(AND(B275&lt;&gt;"",C275&lt;&gt;"",C275&lt;B275),"Cruza la medianoche. ","")&amp;IF(LEN(TRIM(F275))&lt;15,"Sin descripción suficiente. ","")&amp;IF(AND(ISERROR(SEARCH("R-0",F275)),ISERROR(SEARCH("CU-",F275))),"Sin ticket. ","")&amp;IF(ISNA(MATCH(E275,Datos!$E$8:$E$22,0)),"Proyecto sin valor hora. ","")&amp;IF(ISNA(MATCH(D275,Datos!$A$8:$A$22,0)),"Persona fuera del equipo. ","")))</f>
        <v/>
      </c>
      <c r="I275" s="21" t="n"/>
      <c r="J275" s="22" t="n"/>
      <c r="K275" s="23">
        <f>IF(G275="","",IF(J275&lt;&gt;"",MIN(J275,G275),IF(OR(I275="Observada",I275="Rechazada"),0,G275)))</f>
        <v/>
      </c>
      <c r="L275" s="24" t="n"/>
      <c r="M275" s="25">
        <f>IF(OR(A275="",D275=""),0,IF(COUNTIFS($A$2:A275,A275,$D$2:D275,D275)=1,1,0))</f>
        <v/>
      </c>
    </row>
    <row r="276">
      <c r="A276" s="26" t="n"/>
      <c r="B276" s="27" t="n"/>
      <c r="C276" s="27" t="n"/>
      <c r="D276" s="28" t="n"/>
      <c r="E276" s="28" t="n"/>
      <c r="F276" s="29" t="n"/>
      <c r="G276" s="30" t="n"/>
      <c r="H276" s="20">
        <f>IF(A276="","",TRIM(IF(WEEKDAY(A276,2)&gt;5,"Fin de semana. ","")&amp;IF(SUMIFS($G$2:$G$601,$A$2:$A$601,A276,$D$2:$D$601,D276)&gt;9,"Más de 9 h en el día. ","")&amp;IF(AND(B276&lt;&gt;"",C276&lt;&gt;"",C276&lt;B276),"Cruza la medianoche. ","")&amp;IF(LEN(TRIM(F276))&lt;15,"Sin descripción suficiente. ","")&amp;IF(AND(ISERROR(SEARCH("R-0",F276)),ISERROR(SEARCH("CU-",F276))),"Sin ticket. ","")&amp;IF(ISNA(MATCH(E276,Datos!$E$8:$E$22,0)),"Proyecto sin valor hora. ","")&amp;IF(ISNA(MATCH(D276,Datos!$A$8:$A$22,0)),"Persona fuera del equipo. ","")))</f>
        <v/>
      </c>
      <c r="I276" s="21" t="n"/>
      <c r="J276" s="22" t="n"/>
      <c r="K276" s="23">
        <f>IF(G276="","",IF(J276&lt;&gt;"",MIN(J276,G276),IF(OR(I276="Observada",I276="Rechazada"),0,G276)))</f>
        <v/>
      </c>
      <c r="L276" s="24" t="n"/>
      <c r="M276" s="25">
        <f>IF(OR(A276="",D276=""),0,IF(COUNTIFS($A$2:A276,A276,$D$2:D276,D276)=1,1,0))</f>
        <v/>
      </c>
    </row>
    <row r="277">
      <c r="A277" s="26" t="n"/>
      <c r="B277" s="27" t="n"/>
      <c r="C277" s="27" t="n"/>
      <c r="D277" s="28" t="n"/>
      <c r="E277" s="28" t="n"/>
      <c r="F277" s="29" t="n"/>
      <c r="G277" s="30" t="n"/>
      <c r="H277" s="20">
        <f>IF(A277="","",TRIM(IF(WEEKDAY(A277,2)&gt;5,"Fin de semana. ","")&amp;IF(SUMIFS($G$2:$G$601,$A$2:$A$601,A277,$D$2:$D$601,D277)&gt;9,"Más de 9 h en el día. ","")&amp;IF(AND(B277&lt;&gt;"",C277&lt;&gt;"",C277&lt;B277),"Cruza la medianoche. ","")&amp;IF(LEN(TRIM(F277))&lt;15,"Sin descripción suficiente. ","")&amp;IF(AND(ISERROR(SEARCH("R-0",F277)),ISERROR(SEARCH("CU-",F277))),"Sin ticket. ","")&amp;IF(ISNA(MATCH(E277,Datos!$E$8:$E$22,0)),"Proyecto sin valor hora. ","")&amp;IF(ISNA(MATCH(D277,Datos!$A$8:$A$22,0)),"Persona fuera del equipo. ","")))</f>
        <v/>
      </c>
      <c r="I277" s="21" t="n"/>
      <c r="J277" s="22" t="n"/>
      <c r="K277" s="23">
        <f>IF(G277="","",IF(J277&lt;&gt;"",MIN(J277,G277),IF(OR(I277="Observada",I277="Rechazada"),0,G277)))</f>
        <v/>
      </c>
      <c r="L277" s="24" t="n"/>
      <c r="M277" s="25">
        <f>IF(OR(A277="",D277=""),0,IF(COUNTIFS($A$2:A277,A277,$D$2:D277,D277)=1,1,0))</f>
        <v/>
      </c>
    </row>
    <row r="278">
      <c r="A278" s="26" t="n"/>
      <c r="B278" s="27" t="n"/>
      <c r="C278" s="27" t="n"/>
      <c r="D278" s="28" t="n"/>
      <c r="E278" s="28" t="n"/>
      <c r="F278" s="29" t="n"/>
      <c r="G278" s="30" t="n"/>
      <c r="H278" s="20">
        <f>IF(A278="","",TRIM(IF(WEEKDAY(A278,2)&gt;5,"Fin de semana. ","")&amp;IF(SUMIFS($G$2:$G$601,$A$2:$A$601,A278,$D$2:$D$601,D278)&gt;9,"Más de 9 h en el día. ","")&amp;IF(AND(B278&lt;&gt;"",C278&lt;&gt;"",C278&lt;B278),"Cruza la medianoche. ","")&amp;IF(LEN(TRIM(F278))&lt;15,"Sin descripción suficiente. ","")&amp;IF(AND(ISERROR(SEARCH("R-0",F278)),ISERROR(SEARCH("CU-",F278))),"Sin ticket. ","")&amp;IF(ISNA(MATCH(E278,Datos!$E$8:$E$22,0)),"Proyecto sin valor hora. ","")&amp;IF(ISNA(MATCH(D278,Datos!$A$8:$A$22,0)),"Persona fuera del equipo. ","")))</f>
        <v/>
      </c>
      <c r="I278" s="21" t="n"/>
      <c r="J278" s="22" t="n"/>
      <c r="K278" s="23">
        <f>IF(G278="","",IF(J278&lt;&gt;"",MIN(J278,G278),IF(OR(I278="Observada",I278="Rechazada"),0,G278)))</f>
        <v/>
      </c>
      <c r="L278" s="24" t="n"/>
      <c r="M278" s="25">
        <f>IF(OR(A278="",D278=""),0,IF(COUNTIFS($A$2:A278,A278,$D$2:D278,D278)=1,1,0))</f>
        <v/>
      </c>
    </row>
    <row r="279">
      <c r="A279" s="26" t="n"/>
      <c r="B279" s="27" t="n"/>
      <c r="C279" s="27" t="n"/>
      <c r="D279" s="28" t="n"/>
      <c r="E279" s="28" t="n"/>
      <c r="F279" s="29" t="n"/>
      <c r="G279" s="30" t="n"/>
      <c r="H279" s="20">
        <f>IF(A279="","",TRIM(IF(WEEKDAY(A279,2)&gt;5,"Fin de semana. ","")&amp;IF(SUMIFS($G$2:$G$601,$A$2:$A$601,A279,$D$2:$D$601,D279)&gt;9,"Más de 9 h en el día. ","")&amp;IF(AND(B279&lt;&gt;"",C279&lt;&gt;"",C279&lt;B279),"Cruza la medianoche. ","")&amp;IF(LEN(TRIM(F279))&lt;15,"Sin descripción suficiente. ","")&amp;IF(AND(ISERROR(SEARCH("R-0",F279)),ISERROR(SEARCH("CU-",F279))),"Sin ticket. ","")&amp;IF(ISNA(MATCH(E279,Datos!$E$8:$E$22,0)),"Proyecto sin valor hora. ","")&amp;IF(ISNA(MATCH(D279,Datos!$A$8:$A$22,0)),"Persona fuera del equipo. ","")))</f>
        <v/>
      </c>
      <c r="I279" s="21" t="n"/>
      <c r="J279" s="22" t="n"/>
      <c r="K279" s="23">
        <f>IF(G279="","",IF(J279&lt;&gt;"",MIN(J279,G279),IF(OR(I279="Observada",I279="Rechazada"),0,G279)))</f>
        <v/>
      </c>
      <c r="L279" s="24" t="n"/>
      <c r="M279" s="25">
        <f>IF(OR(A279="",D279=""),0,IF(COUNTIFS($A$2:A279,A279,$D$2:D279,D279)=1,1,0))</f>
        <v/>
      </c>
    </row>
    <row r="280">
      <c r="A280" s="26" t="n"/>
      <c r="B280" s="27" t="n"/>
      <c r="C280" s="27" t="n"/>
      <c r="D280" s="28" t="n"/>
      <c r="E280" s="28" t="n"/>
      <c r="F280" s="29" t="n"/>
      <c r="G280" s="30" t="n"/>
      <c r="H280" s="20">
        <f>IF(A280="","",TRIM(IF(WEEKDAY(A280,2)&gt;5,"Fin de semana. ","")&amp;IF(SUMIFS($G$2:$G$601,$A$2:$A$601,A280,$D$2:$D$601,D280)&gt;9,"Más de 9 h en el día. ","")&amp;IF(AND(B280&lt;&gt;"",C280&lt;&gt;"",C280&lt;B280),"Cruza la medianoche. ","")&amp;IF(LEN(TRIM(F280))&lt;15,"Sin descripción suficiente. ","")&amp;IF(AND(ISERROR(SEARCH("R-0",F280)),ISERROR(SEARCH("CU-",F280))),"Sin ticket. ","")&amp;IF(ISNA(MATCH(E280,Datos!$E$8:$E$22,0)),"Proyecto sin valor hora. ","")&amp;IF(ISNA(MATCH(D280,Datos!$A$8:$A$22,0)),"Persona fuera del equipo. ","")))</f>
        <v/>
      </c>
      <c r="I280" s="21" t="n"/>
      <c r="J280" s="22" t="n"/>
      <c r="K280" s="23">
        <f>IF(G280="","",IF(J280&lt;&gt;"",MIN(J280,G280),IF(OR(I280="Observada",I280="Rechazada"),0,G280)))</f>
        <v/>
      </c>
      <c r="L280" s="24" t="n"/>
      <c r="M280" s="25">
        <f>IF(OR(A280="",D280=""),0,IF(COUNTIFS($A$2:A280,A280,$D$2:D280,D280)=1,1,0))</f>
        <v/>
      </c>
    </row>
    <row r="281">
      <c r="A281" s="26" t="n"/>
      <c r="B281" s="27" t="n"/>
      <c r="C281" s="27" t="n"/>
      <c r="D281" s="28" t="n"/>
      <c r="E281" s="28" t="n"/>
      <c r="F281" s="29" t="n"/>
      <c r="G281" s="30" t="n"/>
      <c r="H281" s="20">
        <f>IF(A281="","",TRIM(IF(WEEKDAY(A281,2)&gt;5,"Fin de semana. ","")&amp;IF(SUMIFS($G$2:$G$601,$A$2:$A$601,A281,$D$2:$D$601,D281)&gt;9,"Más de 9 h en el día. ","")&amp;IF(AND(B281&lt;&gt;"",C281&lt;&gt;"",C281&lt;B281),"Cruza la medianoche. ","")&amp;IF(LEN(TRIM(F281))&lt;15,"Sin descripción suficiente. ","")&amp;IF(AND(ISERROR(SEARCH("R-0",F281)),ISERROR(SEARCH("CU-",F281))),"Sin ticket. ","")&amp;IF(ISNA(MATCH(E281,Datos!$E$8:$E$22,0)),"Proyecto sin valor hora. ","")&amp;IF(ISNA(MATCH(D281,Datos!$A$8:$A$22,0)),"Persona fuera del equipo. ","")))</f>
        <v/>
      </c>
      <c r="I281" s="21" t="n"/>
      <c r="J281" s="22" t="n"/>
      <c r="K281" s="23">
        <f>IF(G281="","",IF(J281&lt;&gt;"",MIN(J281,G281),IF(OR(I281="Observada",I281="Rechazada"),0,G281)))</f>
        <v/>
      </c>
      <c r="L281" s="24" t="n"/>
      <c r="M281" s="25">
        <f>IF(OR(A281="",D281=""),0,IF(COUNTIFS($A$2:A281,A281,$D$2:D281,D281)=1,1,0))</f>
        <v/>
      </c>
    </row>
    <row r="282">
      <c r="A282" s="26" t="n"/>
      <c r="B282" s="27" t="n"/>
      <c r="C282" s="27" t="n"/>
      <c r="D282" s="28" t="n"/>
      <c r="E282" s="28" t="n"/>
      <c r="F282" s="29" t="n"/>
      <c r="G282" s="30" t="n"/>
      <c r="H282" s="20">
        <f>IF(A282="","",TRIM(IF(WEEKDAY(A282,2)&gt;5,"Fin de semana. ","")&amp;IF(SUMIFS($G$2:$G$601,$A$2:$A$601,A282,$D$2:$D$601,D282)&gt;9,"Más de 9 h en el día. ","")&amp;IF(AND(B282&lt;&gt;"",C282&lt;&gt;"",C282&lt;B282),"Cruza la medianoche. ","")&amp;IF(LEN(TRIM(F282))&lt;15,"Sin descripción suficiente. ","")&amp;IF(AND(ISERROR(SEARCH("R-0",F282)),ISERROR(SEARCH("CU-",F282))),"Sin ticket. ","")&amp;IF(ISNA(MATCH(E282,Datos!$E$8:$E$22,0)),"Proyecto sin valor hora. ","")&amp;IF(ISNA(MATCH(D282,Datos!$A$8:$A$22,0)),"Persona fuera del equipo. ","")))</f>
        <v/>
      </c>
      <c r="I282" s="21" t="n"/>
      <c r="J282" s="22" t="n"/>
      <c r="K282" s="23">
        <f>IF(G282="","",IF(J282&lt;&gt;"",MIN(J282,G282),IF(OR(I282="Observada",I282="Rechazada"),0,G282)))</f>
        <v/>
      </c>
      <c r="L282" s="24" t="n"/>
      <c r="M282" s="25">
        <f>IF(OR(A282="",D282=""),0,IF(COUNTIFS($A$2:A282,A282,$D$2:D282,D282)=1,1,0))</f>
        <v/>
      </c>
    </row>
    <row r="283">
      <c r="A283" s="26" t="n"/>
      <c r="B283" s="27" t="n"/>
      <c r="C283" s="27" t="n"/>
      <c r="D283" s="28" t="n"/>
      <c r="E283" s="28" t="n"/>
      <c r="F283" s="29" t="n"/>
      <c r="G283" s="30" t="n"/>
      <c r="H283" s="20">
        <f>IF(A283="","",TRIM(IF(WEEKDAY(A283,2)&gt;5,"Fin de semana. ","")&amp;IF(SUMIFS($G$2:$G$601,$A$2:$A$601,A283,$D$2:$D$601,D283)&gt;9,"Más de 9 h en el día. ","")&amp;IF(AND(B283&lt;&gt;"",C283&lt;&gt;"",C283&lt;B283),"Cruza la medianoche. ","")&amp;IF(LEN(TRIM(F283))&lt;15,"Sin descripción suficiente. ","")&amp;IF(AND(ISERROR(SEARCH("R-0",F283)),ISERROR(SEARCH("CU-",F283))),"Sin ticket. ","")&amp;IF(ISNA(MATCH(E283,Datos!$E$8:$E$22,0)),"Proyecto sin valor hora. ","")&amp;IF(ISNA(MATCH(D283,Datos!$A$8:$A$22,0)),"Persona fuera del equipo. ","")))</f>
        <v/>
      </c>
      <c r="I283" s="21" t="n"/>
      <c r="J283" s="22" t="n"/>
      <c r="K283" s="23">
        <f>IF(G283="","",IF(J283&lt;&gt;"",MIN(J283,G283),IF(OR(I283="Observada",I283="Rechazada"),0,G283)))</f>
        <v/>
      </c>
      <c r="L283" s="24" t="n"/>
      <c r="M283" s="25">
        <f>IF(OR(A283="",D283=""),0,IF(COUNTIFS($A$2:A283,A283,$D$2:D283,D283)=1,1,0))</f>
        <v/>
      </c>
    </row>
    <row r="284">
      <c r="A284" s="26" t="n"/>
      <c r="B284" s="27" t="n"/>
      <c r="C284" s="27" t="n"/>
      <c r="D284" s="28" t="n"/>
      <c r="E284" s="28" t="n"/>
      <c r="F284" s="29" t="n"/>
      <c r="G284" s="30" t="n"/>
      <c r="H284" s="20">
        <f>IF(A284="","",TRIM(IF(WEEKDAY(A284,2)&gt;5,"Fin de semana. ","")&amp;IF(SUMIFS($G$2:$G$601,$A$2:$A$601,A284,$D$2:$D$601,D284)&gt;9,"Más de 9 h en el día. ","")&amp;IF(AND(B284&lt;&gt;"",C284&lt;&gt;"",C284&lt;B284),"Cruza la medianoche. ","")&amp;IF(LEN(TRIM(F284))&lt;15,"Sin descripción suficiente. ","")&amp;IF(AND(ISERROR(SEARCH("R-0",F284)),ISERROR(SEARCH("CU-",F284))),"Sin ticket. ","")&amp;IF(ISNA(MATCH(E284,Datos!$E$8:$E$22,0)),"Proyecto sin valor hora. ","")&amp;IF(ISNA(MATCH(D284,Datos!$A$8:$A$22,0)),"Persona fuera del equipo. ","")))</f>
        <v/>
      </c>
      <c r="I284" s="21" t="n"/>
      <c r="J284" s="22" t="n"/>
      <c r="K284" s="23">
        <f>IF(G284="","",IF(J284&lt;&gt;"",MIN(J284,G284),IF(OR(I284="Observada",I284="Rechazada"),0,G284)))</f>
        <v/>
      </c>
      <c r="L284" s="24" t="n"/>
      <c r="M284" s="25">
        <f>IF(OR(A284="",D284=""),0,IF(COUNTIFS($A$2:A284,A284,$D$2:D284,D284)=1,1,0))</f>
        <v/>
      </c>
    </row>
    <row r="285">
      <c r="A285" s="26" t="n"/>
      <c r="B285" s="27" t="n"/>
      <c r="C285" s="27" t="n"/>
      <c r="D285" s="28" t="n"/>
      <c r="E285" s="28" t="n"/>
      <c r="F285" s="29" t="n"/>
      <c r="G285" s="30" t="n"/>
      <c r="H285" s="20">
        <f>IF(A285="","",TRIM(IF(WEEKDAY(A285,2)&gt;5,"Fin de semana. ","")&amp;IF(SUMIFS($G$2:$G$601,$A$2:$A$601,A285,$D$2:$D$601,D285)&gt;9,"Más de 9 h en el día. ","")&amp;IF(AND(B285&lt;&gt;"",C285&lt;&gt;"",C285&lt;B285),"Cruza la medianoche. ","")&amp;IF(LEN(TRIM(F285))&lt;15,"Sin descripción suficiente. ","")&amp;IF(AND(ISERROR(SEARCH("R-0",F285)),ISERROR(SEARCH("CU-",F285))),"Sin ticket. ","")&amp;IF(ISNA(MATCH(E285,Datos!$E$8:$E$22,0)),"Proyecto sin valor hora. ","")&amp;IF(ISNA(MATCH(D285,Datos!$A$8:$A$22,0)),"Persona fuera del equipo. ","")))</f>
        <v/>
      </c>
      <c r="I285" s="21" t="n"/>
      <c r="J285" s="22" t="n"/>
      <c r="K285" s="23">
        <f>IF(G285="","",IF(J285&lt;&gt;"",MIN(J285,G285),IF(OR(I285="Observada",I285="Rechazada"),0,G285)))</f>
        <v/>
      </c>
      <c r="L285" s="24" t="n"/>
      <c r="M285" s="25">
        <f>IF(OR(A285="",D285=""),0,IF(COUNTIFS($A$2:A285,A285,$D$2:D285,D285)=1,1,0))</f>
        <v/>
      </c>
    </row>
    <row r="286">
      <c r="A286" s="26" t="n"/>
      <c r="B286" s="27" t="n"/>
      <c r="C286" s="27" t="n"/>
      <c r="D286" s="28" t="n"/>
      <c r="E286" s="28" t="n"/>
      <c r="F286" s="29" t="n"/>
      <c r="G286" s="30" t="n"/>
      <c r="H286" s="20">
        <f>IF(A286="","",TRIM(IF(WEEKDAY(A286,2)&gt;5,"Fin de semana. ","")&amp;IF(SUMIFS($G$2:$G$601,$A$2:$A$601,A286,$D$2:$D$601,D286)&gt;9,"Más de 9 h en el día. ","")&amp;IF(AND(B286&lt;&gt;"",C286&lt;&gt;"",C286&lt;B286),"Cruza la medianoche. ","")&amp;IF(LEN(TRIM(F286))&lt;15,"Sin descripción suficiente. ","")&amp;IF(AND(ISERROR(SEARCH("R-0",F286)),ISERROR(SEARCH("CU-",F286))),"Sin ticket. ","")&amp;IF(ISNA(MATCH(E286,Datos!$E$8:$E$22,0)),"Proyecto sin valor hora. ","")&amp;IF(ISNA(MATCH(D286,Datos!$A$8:$A$22,0)),"Persona fuera del equipo. ","")))</f>
        <v/>
      </c>
      <c r="I286" s="21" t="n"/>
      <c r="J286" s="22" t="n"/>
      <c r="K286" s="23">
        <f>IF(G286="","",IF(J286&lt;&gt;"",MIN(J286,G286),IF(OR(I286="Observada",I286="Rechazada"),0,G286)))</f>
        <v/>
      </c>
      <c r="L286" s="24" t="n"/>
      <c r="M286" s="25">
        <f>IF(OR(A286="",D286=""),0,IF(COUNTIFS($A$2:A286,A286,$D$2:D286,D286)=1,1,0))</f>
        <v/>
      </c>
    </row>
    <row r="287">
      <c r="A287" s="26" t="n"/>
      <c r="B287" s="27" t="n"/>
      <c r="C287" s="27" t="n"/>
      <c r="D287" s="28" t="n"/>
      <c r="E287" s="28" t="n"/>
      <c r="F287" s="29" t="n"/>
      <c r="G287" s="30" t="n"/>
      <c r="H287" s="20">
        <f>IF(A287="","",TRIM(IF(WEEKDAY(A287,2)&gt;5,"Fin de semana. ","")&amp;IF(SUMIFS($G$2:$G$601,$A$2:$A$601,A287,$D$2:$D$601,D287)&gt;9,"Más de 9 h en el día. ","")&amp;IF(AND(B287&lt;&gt;"",C287&lt;&gt;"",C287&lt;B287),"Cruza la medianoche. ","")&amp;IF(LEN(TRIM(F287))&lt;15,"Sin descripción suficiente. ","")&amp;IF(AND(ISERROR(SEARCH("R-0",F287)),ISERROR(SEARCH("CU-",F287))),"Sin ticket. ","")&amp;IF(ISNA(MATCH(E287,Datos!$E$8:$E$22,0)),"Proyecto sin valor hora. ","")&amp;IF(ISNA(MATCH(D287,Datos!$A$8:$A$22,0)),"Persona fuera del equipo. ","")))</f>
        <v/>
      </c>
      <c r="I287" s="21" t="n"/>
      <c r="J287" s="22" t="n"/>
      <c r="K287" s="23">
        <f>IF(G287="","",IF(J287&lt;&gt;"",MIN(J287,G287),IF(OR(I287="Observada",I287="Rechazada"),0,G287)))</f>
        <v/>
      </c>
      <c r="L287" s="24" t="n"/>
      <c r="M287" s="25">
        <f>IF(OR(A287="",D287=""),0,IF(COUNTIFS($A$2:A287,A287,$D$2:D287,D287)=1,1,0))</f>
        <v/>
      </c>
    </row>
    <row r="288">
      <c r="A288" s="26" t="n"/>
      <c r="B288" s="27" t="n"/>
      <c r="C288" s="27" t="n"/>
      <c r="D288" s="28" t="n"/>
      <c r="E288" s="28" t="n"/>
      <c r="F288" s="29" t="n"/>
      <c r="G288" s="30" t="n"/>
      <c r="H288" s="20">
        <f>IF(A288="","",TRIM(IF(WEEKDAY(A288,2)&gt;5,"Fin de semana. ","")&amp;IF(SUMIFS($G$2:$G$601,$A$2:$A$601,A288,$D$2:$D$601,D288)&gt;9,"Más de 9 h en el día. ","")&amp;IF(AND(B288&lt;&gt;"",C288&lt;&gt;"",C288&lt;B288),"Cruza la medianoche. ","")&amp;IF(LEN(TRIM(F288))&lt;15,"Sin descripción suficiente. ","")&amp;IF(AND(ISERROR(SEARCH("R-0",F288)),ISERROR(SEARCH("CU-",F288))),"Sin ticket. ","")&amp;IF(ISNA(MATCH(E288,Datos!$E$8:$E$22,0)),"Proyecto sin valor hora. ","")&amp;IF(ISNA(MATCH(D288,Datos!$A$8:$A$22,0)),"Persona fuera del equipo. ","")))</f>
        <v/>
      </c>
      <c r="I288" s="21" t="n"/>
      <c r="J288" s="22" t="n"/>
      <c r="K288" s="23">
        <f>IF(G288="","",IF(J288&lt;&gt;"",MIN(J288,G288),IF(OR(I288="Observada",I288="Rechazada"),0,G288)))</f>
        <v/>
      </c>
      <c r="L288" s="24" t="n"/>
      <c r="M288" s="25">
        <f>IF(OR(A288="",D288=""),0,IF(COUNTIFS($A$2:A288,A288,$D$2:D288,D288)=1,1,0))</f>
        <v/>
      </c>
    </row>
    <row r="289">
      <c r="A289" s="26" t="n"/>
      <c r="B289" s="27" t="n"/>
      <c r="C289" s="27" t="n"/>
      <c r="D289" s="28" t="n"/>
      <c r="E289" s="28" t="n"/>
      <c r="F289" s="29" t="n"/>
      <c r="G289" s="30" t="n"/>
      <c r="H289" s="20">
        <f>IF(A289="","",TRIM(IF(WEEKDAY(A289,2)&gt;5,"Fin de semana. ","")&amp;IF(SUMIFS($G$2:$G$601,$A$2:$A$601,A289,$D$2:$D$601,D289)&gt;9,"Más de 9 h en el día. ","")&amp;IF(AND(B289&lt;&gt;"",C289&lt;&gt;"",C289&lt;B289),"Cruza la medianoche. ","")&amp;IF(LEN(TRIM(F289))&lt;15,"Sin descripción suficiente. ","")&amp;IF(AND(ISERROR(SEARCH("R-0",F289)),ISERROR(SEARCH("CU-",F289))),"Sin ticket. ","")&amp;IF(ISNA(MATCH(E289,Datos!$E$8:$E$22,0)),"Proyecto sin valor hora. ","")&amp;IF(ISNA(MATCH(D289,Datos!$A$8:$A$22,0)),"Persona fuera del equipo. ","")))</f>
        <v/>
      </c>
      <c r="I289" s="21" t="n"/>
      <c r="J289" s="22" t="n"/>
      <c r="K289" s="23">
        <f>IF(G289="","",IF(J289&lt;&gt;"",MIN(J289,G289),IF(OR(I289="Observada",I289="Rechazada"),0,G289)))</f>
        <v/>
      </c>
      <c r="L289" s="24" t="n"/>
      <c r="M289" s="25">
        <f>IF(OR(A289="",D289=""),0,IF(COUNTIFS($A$2:A289,A289,$D$2:D289,D289)=1,1,0))</f>
        <v/>
      </c>
    </row>
    <row r="290">
      <c r="A290" s="26" t="n"/>
      <c r="B290" s="27" t="n"/>
      <c r="C290" s="27" t="n"/>
      <c r="D290" s="28" t="n"/>
      <c r="E290" s="28" t="n"/>
      <c r="F290" s="29" t="n"/>
      <c r="G290" s="30" t="n"/>
      <c r="H290" s="20">
        <f>IF(A290="","",TRIM(IF(WEEKDAY(A290,2)&gt;5,"Fin de semana. ","")&amp;IF(SUMIFS($G$2:$G$601,$A$2:$A$601,A290,$D$2:$D$601,D290)&gt;9,"Más de 9 h en el día. ","")&amp;IF(AND(B290&lt;&gt;"",C290&lt;&gt;"",C290&lt;B290),"Cruza la medianoche. ","")&amp;IF(LEN(TRIM(F290))&lt;15,"Sin descripción suficiente. ","")&amp;IF(AND(ISERROR(SEARCH("R-0",F290)),ISERROR(SEARCH("CU-",F290))),"Sin ticket. ","")&amp;IF(ISNA(MATCH(E290,Datos!$E$8:$E$22,0)),"Proyecto sin valor hora. ","")&amp;IF(ISNA(MATCH(D290,Datos!$A$8:$A$22,0)),"Persona fuera del equipo. ","")))</f>
        <v/>
      </c>
      <c r="I290" s="21" t="n"/>
      <c r="J290" s="22" t="n"/>
      <c r="K290" s="23">
        <f>IF(G290="","",IF(J290&lt;&gt;"",MIN(J290,G290),IF(OR(I290="Observada",I290="Rechazada"),0,G290)))</f>
        <v/>
      </c>
      <c r="L290" s="24" t="n"/>
      <c r="M290" s="25">
        <f>IF(OR(A290="",D290=""),0,IF(COUNTIFS($A$2:A290,A290,$D$2:D290,D290)=1,1,0))</f>
        <v/>
      </c>
    </row>
    <row r="291">
      <c r="A291" s="26" t="n"/>
      <c r="B291" s="27" t="n"/>
      <c r="C291" s="27" t="n"/>
      <c r="D291" s="28" t="n"/>
      <c r="E291" s="28" t="n"/>
      <c r="F291" s="29" t="n"/>
      <c r="G291" s="30" t="n"/>
      <c r="H291" s="20">
        <f>IF(A291="","",TRIM(IF(WEEKDAY(A291,2)&gt;5,"Fin de semana. ","")&amp;IF(SUMIFS($G$2:$G$601,$A$2:$A$601,A291,$D$2:$D$601,D291)&gt;9,"Más de 9 h en el día. ","")&amp;IF(AND(B291&lt;&gt;"",C291&lt;&gt;"",C291&lt;B291),"Cruza la medianoche. ","")&amp;IF(LEN(TRIM(F291))&lt;15,"Sin descripción suficiente. ","")&amp;IF(AND(ISERROR(SEARCH("R-0",F291)),ISERROR(SEARCH("CU-",F291))),"Sin ticket. ","")&amp;IF(ISNA(MATCH(E291,Datos!$E$8:$E$22,0)),"Proyecto sin valor hora. ","")&amp;IF(ISNA(MATCH(D291,Datos!$A$8:$A$22,0)),"Persona fuera del equipo. ","")))</f>
        <v/>
      </c>
      <c r="I291" s="21" t="n"/>
      <c r="J291" s="22" t="n"/>
      <c r="K291" s="23">
        <f>IF(G291="","",IF(J291&lt;&gt;"",MIN(J291,G291),IF(OR(I291="Observada",I291="Rechazada"),0,G291)))</f>
        <v/>
      </c>
      <c r="L291" s="24" t="n"/>
      <c r="M291" s="25">
        <f>IF(OR(A291="",D291=""),0,IF(COUNTIFS($A$2:A291,A291,$D$2:D291,D291)=1,1,0))</f>
        <v/>
      </c>
    </row>
    <row r="292">
      <c r="A292" s="26" t="n"/>
      <c r="B292" s="27" t="n"/>
      <c r="C292" s="27" t="n"/>
      <c r="D292" s="28" t="n"/>
      <c r="E292" s="28" t="n"/>
      <c r="F292" s="29" t="n"/>
      <c r="G292" s="30" t="n"/>
      <c r="H292" s="20">
        <f>IF(A292="","",TRIM(IF(WEEKDAY(A292,2)&gt;5,"Fin de semana. ","")&amp;IF(SUMIFS($G$2:$G$601,$A$2:$A$601,A292,$D$2:$D$601,D292)&gt;9,"Más de 9 h en el día. ","")&amp;IF(AND(B292&lt;&gt;"",C292&lt;&gt;"",C292&lt;B292),"Cruza la medianoche. ","")&amp;IF(LEN(TRIM(F292))&lt;15,"Sin descripción suficiente. ","")&amp;IF(AND(ISERROR(SEARCH("R-0",F292)),ISERROR(SEARCH("CU-",F292))),"Sin ticket. ","")&amp;IF(ISNA(MATCH(E292,Datos!$E$8:$E$22,0)),"Proyecto sin valor hora. ","")&amp;IF(ISNA(MATCH(D292,Datos!$A$8:$A$22,0)),"Persona fuera del equipo. ","")))</f>
        <v/>
      </c>
      <c r="I292" s="21" t="n"/>
      <c r="J292" s="22" t="n"/>
      <c r="K292" s="23">
        <f>IF(G292="","",IF(J292&lt;&gt;"",MIN(J292,G292),IF(OR(I292="Observada",I292="Rechazada"),0,G292)))</f>
        <v/>
      </c>
      <c r="L292" s="24" t="n"/>
      <c r="M292" s="25">
        <f>IF(OR(A292="",D292=""),0,IF(COUNTIFS($A$2:A292,A292,$D$2:D292,D292)=1,1,0))</f>
        <v/>
      </c>
    </row>
    <row r="293">
      <c r="A293" s="26" t="n"/>
      <c r="B293" s="27" t="n"/>
      <c r="C293" s="27" t="n"/>
      <c r="D293" s="28" t="n"/>
      <c r="E293" s="28" t="n"/>
      <c r="F293" s="29" t="n"/>
      <c r="G293" s="30" t="n"/>
      <c r="H293" s="20">
        <f>IF(A293="","",TRIM(IF(WEEKDAY(A293,2)&gt;5,"Fin de semana. ","")&amp;IF(SUMIFS($G$2:$G$601,$A$2:$A$601,A293,$D$2:$D$601,D293)&gt;9,"Más de 9 h en el día. ","")&amp;IF(AND(B293&lt;&gt;"",C293&lt;&gt;"",C293&lt;B293),"Cruza la medianoche. ","")&amp;IF(LEN(TRIM(F293))&lt;15,"Sin descripción suficiente. ","")&amp;IF(AND(ISERROR(SEARCH("R-0",F293)),ISERROR(SEARCH("CU-",F293))),"Sin ticket. ","")&amp;IF(ISNA(MATCH(E293,Datos!$E$8:$E$22,0)),"Proyecto sin valor hora. ","")&amp;IF(ISNA(MATCH(D293,Datos!$A$8:$A$22,0)),"Persona fuera del equipo. ","")))</f>
        <v/>
      </c>
      <c r="I293" s="21" t="n"/>
      <c r="J293" s="22" t="n"/>
      <c r="K293" s="23">
        <f>IF(G293="","",IF(J293&lt;&gt;"",MIN(J293,G293),IF(OR(I293="Observada",I293="Rechazada"),0,G293)))</f>
        <v/>
      </c>
      <c r="L293" s="24" t="n"/>
      <c r="M293" s="25">
        <f>IF(OR(A293="",D293=""),0,IF(COUNTIFS($A$2:A293,A293,$D$2:D293,D293)=1,1,0))</f>
        <v/>
      </c>
    </row>
    <row r="294">
      <c r="A294" s="26" t="n"/>
      <c r="B294" s="27" t="n"/>
      <c r="C294" s="27" t="n"/>
      <c r="D294" s="28" t="n"/>
      <c r="E294" s="28" t="n"/>
      <c r="F294" s="29" t="n"/>
      <c r="G294" s="30" t="n"/>
      <c r="H294" s="20">
        <f>IF(A294="","",TRIM(IF(WEEKDAY(A294,2)&gt;5,"Fin de semana. ","")&amp;IF(SUMIFS($G$2:$G$601,$A$2:$A$601,A294,$D$2:$D$601,D294)&gt;9,"Más de 9 h en el día. ","")&amp;IF(AND(B294&lt;&gt;"",C294&lt;&gt;"",C294&lt;B294),"Cruza la medianoche. ","")&amp;IF(LEN(TRIM(F294))&lt;15,"Sin descripción suficiente. ","")&amp;IF(AND(ISERROR(SEARCH("R-0",F294)),ISERROR(SEARCH("CU-",F294))),"Sin ticket. ","")&amp;IF(ISNA(MATCH(E294,Datos!$E$8:$E$22,0)),"Proyecto sin valor hora. ","")&amp;IF(ISNA(MATCH(D294,Datos!$A$8:$A$22,0)),"Persona fuera del equipo. ","")))</f>
        <v/>
      </c>
      <c r="I294" s="21" t="n"/>
      <c r="J294" s="22" t="n"/>
      <c r="K294" s="23">
        <f>IF(G294="","",IF(J294&lt;&gt;"",MIN(J294,G294),IF(OR(I294="Observada",I294="Rechazada"),0,G294)))</f>
        <v/>
      </c>
      <c r="L294" s="24" t="n"/>
      <c r="M294" s="25">
        <f>IF(OR(A294="",D294=""),0,IF(COUNTIFS($A$2:A294,A294,$D$2:D294,D294)=1,1,0))</f>
        <v/>
      </c>
    </row>
    <row r="295">
      <c r="A295" s="26" t="n"/>
      <c r="B295" s="27" t="n"/>
      <c r="C295" s="27" t="n"/>
      <c r="D295" s="28" t="n"/>
      <c r="E295" s="28" t="n"/>
      <c r="F295" s="29" t="n"/>
      <c r="G295" s="30" t="n"/>
      <c r="H295" s="20">
        <f>IF(A295="","",TRIM(IF(WEEKDAY(A295,2)&gt;5,"Fin de semana. ","")&amp;IF(SUMIFS($G$2:$G$601,$A$2:$A$601,A295,$D$2:$D$601,D295)&gt;9,"Más de 9 h en el día. ","")&amp;IF(AND(B295&lt;&gt;"",C295&lt;&gt;"",C295&lt;B295),"Cruza la medianoche. ","")&amp;IF(LEN(TRIM(F295))&lt;15,"Sin descripción suficiente. ","")&amp;IF(AND(ISERROR(SEARCH("R-0",F295)),ISERROR(SEARCH("CU-",F295))),"Sin ticket. ","")&amp;IF(ISNA(MATCH(E295,Datos!$E$8:$E$22,0)),"Proyecto sin valor hora. ","")&amp;IF(ISNA(MATCH(D295,Datos!$A$8:$A$22,0)),"Persona fuera del equipo. ","")))</f>
        <v/>
      </c>
      <c r="I295" s="21" t="n"/>
      <c r="J295" s="22" t="n"/>
      <c r="K295" s="23">
        <f>IF(G295="","",IF(J295&lt;&gt;"",MIN(J295,G295),IF(OR(I295="Observada",I295="Rechazada"),0,G295)))</f>
        <v/>
      </c>
      <c r="L295" s="24" t="n"/>
      <c r="M295" s="25">
        <f>IF(OR(A295="",D295=""),0,IF(COUNTIFS($A$2:A295,A295,$D$2:D295,D295)=1,1,0))</f>
        <v/>
      </c>
    </row>
    <row r="296">
      <c r="A296" s="26" t="n"/>
      <c r="B296" s="27" t="n"/>
      <c r="C296" s="27" t="n"/>
      <c r="D296" s="28" t="n"/>
      <c r="E296" s="28" t="n"/>
      <c r="F296" s="29" t="n"/>
      <c r="G296" s="30" t="n"/>
      <c r="H296" s="20">
        <f>IF(A296="","",TRIM(IF(WEEKDAY(A296,2)&gt;5,"Fin de semana. ","")&amp;IF(SUMIFS($G$2:$G$601,$A$2:$A$601,A296,$D$2:$D$601,D296)&gt;9,"Más de 9 h en el día. ","")&amp;IF(AND(B296&lt;&gt;"",C296&lt;&gt;"",C296&lt;B296),"Cruza la medianoche. ","")&amp;IF(LEN(TRIM(F296))&lt;15,"Sin descripción suficiente. ","")&amp;IF(AND(ISERROR(SEARCH("R-0",F296)),ISERROR(SEARCH("CU-",F296))),"Sin ticket. ","")&amp;IF(ISNA(MATCH(E296,Datos!$E$8:$E$22,0)),"Proyecto sin valor hora. ","")&amp;IF(ISNA(MATCH(D296,Datos!$A$8:$A$22,0)),"Persona fuera del equipo. ","")))</f>
        <v/>
      </c>
      <c r="I296" s="21" t="n"/>
      <c r="J296" s="22" t="n"/>
      <c r="K296" s="23">
        <f>IF(G296="","",IF(J296&lt;&gt;"",MIN(J296,G296),IF(OR(I296="Observada",I296="Rechazada"),0,G296)))</f>
        <v/>
      </c>
      <c r="L296" s="24" t="n"/>
      <c r="M296" s="25">
        <f>IF(OR(A296="",D296=""),0,IF(COUNTIFS($A$2:A296,A296,$D$2:D296,D296)=1,1,0))</f>
        <v/>
      </c>
    </row>
    <row r="297">
      <c r="A297" s="26" t="n"/>
      <c r="B297" s="27" t="n"/>
      <c r="C297" s="27" t="n"/>
      <c r="D297" s="28" t="n"/>
      <c r="E297" s="28" t="n"/>
      <c r="F297" s="29" t="n"/>
      <c r="G297" s="30" t="n"/>
      <c r="H297" s="20">
        <f>IF(A297="","",TRIM(IF(WEEKDAY(A297,2)&gt;5,"Fin de semana. ","")&amp;IF(SUMIFS($G$2:$G$601,$A$2:$A$601,A297,$D$2:$D$601,D297)&gt;9,"Más de 9 h en el día. ","")&amp;IF(AND(B297&lt;&gt;"",C297&lt;&gt;"",C297&lt;B297),"Cruza la medianoche. ","")&amp;IF(LEN(TRIM(F297))&lt;15,"Sin descripción suficiente. ","")&amp;IF(AND(ISERROR(SEARCH("R-0",F297)),ISERROR(SEARCH("CU-",F297))),"Sin ticket. ","")&amp;IF(ISNA(MATCH(E297,Datos!$E$8:$E$22,0)),"Proyecto sin valor hora. ","")&amp;IF(ISNA(MATCH(D297,Datos!$A$8:$A$22,0)),"Persona fuera del equipo. ","")))</f>
        <v/>
      </c>
      <c r="I297" s="21" t="n"/>
      <c r="J297" s="22" t="n"/>
      <c r="K297" s="23">
        <f>IF(G297="","",IF(J297&lt;&gt;"",MIN(J297,G297),IF(OR(I297="Observada",I297="Rechazada"),0,G297)))</f>
        <v/>
      </c>
      <c r="L297" s="24" t="n"/>
      <c r="M297" s="25">
        <f>IF(OR(A297="",D297=""),0,IF(COUNTIFS($A$2:A297,A297,$D$2:D297,D297)=1,1,0))</f>
        <v/>
      </c>
    </row>
    <row r="298">
      <c r="A298" s="26" t="n"/>
      <c r="B298" s="27" t="n"/>
      <c r="C298" s="27" t="n"/>
      <c r="D298" s="28" t="n"/>
      <c r="E298" s="28" t="n"/>
      <c r="F298" s="29" t="n"/>
      <c r="G298" s="30" t="n"/>
      <c r="H298" s="20">
        <f>IF(A298="","",TRIM(IF(WEEKDAY(A298,2)&gt;5,"Fin de semana. ","")&amp;IF(SUMIFS($G$2:$G$601,$A$2:$A$601,A298,$D$2:$D$601,D298)&gt;9,"Más de 9 h en el día. ","")&amp;IF(AND(B298&lt;&gt;"",C298&lt;&gt;"",C298&lt;B298),"Cruza la medianoche. ","")&amp;IF(LEN(TRIM(F298))&lt;15,"Sin descripción suficiente. ","")&amp;IF(AND(ISERROR(SEARCH("R-0",F298)),ISERROR(SEARCH("CU-",F298))),"Sin ticket. ","")&amp;IF(ISNA(MATCH(E298,Datos!$E$8:$E$22,0)),"Proyecto sin valor hora. ","")&amp;IF(ISNA(MATCH(D298,Datos!$A$8:$A$22,0)),"Persona fuera del equipo. ","")))</f>
        <v/>
      </c>
      <c r="I298" s="21" t="n"/>
      <c r="J298" s="22" t="n"/>
      <c r="K298" s="23">
        <f>IF(G298="","",IF(J298&lt;&gt;"",MIN(J298,G298),IF(OR(I298="Observada",I298="Rechazada"),0,G298)))</f>
        <v/>
      </c>
      <c r="L298" s="24" t="n"/>
      <c r="M298" s="25">
        <f>IF(OR(A298="",D298=""),0,IF(COUNTIFS($A$2:A298,A298,$D$2:D298,D298)=1,1,0))</f>
        <v/>
      </c>
    </row>
    <row r="299">
      <c r="A299" s="26" t="n"/>
      <c r="B299" s="27" t="n"/>
      <c r="C299" s="27" t="n"/>
      <c r="D299" s="28" t="n"/>
      <c r="E299" s="28" t="n"/>
      <c r="F299" s="29" t="n"/>
      <c r="G299" s="30" t="n"/>
      <c r="H299" s="20">
        <f>IF(A299="","",TRIM(IF(WEEKDAY(A299,2)&gt;5,"Fin de semana. ","")&amp;IF(SUMIFS($G$2:$G$601,$A$2:$A$601,A299,$D$2:$D$601,D299)&gt;9,"Más de 9 h en el día. ","")&amp;IF(AND(B299&lt;&gt;"",C299&lt;&gt;"",C299&lt;B299),"Cruza la medianoche. ","")&amp;IF(LEN(TRIM(F299))&lt;15,"Sin descripción suficiente. ","")&amp;IF(AND(ISERROR(SEARCH("R-0",F299)),ISERROR(SEARCH("CU-",F299))),"Sin ticket. ","")&amp;IF(ISNA(MATCH(E299,Datos!$E$8:$E$22,0)),"Proyecto sin valor hora. ","")&amp;IF(ISNA(MATCH(D299,Datos!$A$8:$A$22,0)),"Persona fuera del equipo. ","")))</f>
        <v/>
      </c>
      <c r="I299" s="21" t="n"/>
      <c r="J299" s="22" t="n"/>
      <c r="K299" s="23">
        <f>IF(G299="","",IF(J299&lt;&gt;"",MIN(J299,G299),IF(OR(I299="Observada",I299="Rechazada"),0,G299)))</f>
        <v/>
      </c>
      <c r="L299" s="24" t="n"/>
      <c r="M299" s="25">
        <f>IF(OR(A299="",D299=""),0,IF(COUNTIFS($A$2:A299,A299,$D$2:D299,D299)=1,1,0))</f>
        <v/>
      </c>
    </row>
    <row r="300">
      <c r="A300" s="26" t="n"/>
      <c r="B300" s="27" t="n"/>
      <c r="C300" s="27" t="n"/>
      <c r="D300" s="28" t="n"/>
      <c r="E300" s="28" t="n"/>
      <c r="F300" s="29" t="n"/>
      <c r="G300" s="30" t="n"/>
      <c r="H300" s="20">
        <f>IF(A300="","",TRIM(IF(WEEKDAY(A300,2)&gt;5,"Fin de semana. ","")&amp;IF(SUMIFS($G$2:$G$601,$A$2:$A$601,A300,$D$2:$D$601,D300)&gt;9,"Más de 9 h en el día. ","")&amp;IF(AND(B300&lt;&gt;"",C300&lt;&gt;"",C300&lt;B300),"Cruza la medianoche. ","")&amp;IF(LEN(TRIM(F300))&lt;15,"Sin descripción suficiente. ","")&amp;IF(AND(ISERROR(SEARCH("R-0",F300)),ISERROR(SEARCH("CU-",F300))),"Sin ticket. ","")&amp;IF(ISNA(MATCH(E300,Datos!$E$8:$E$22,0)),"Proyecto sin valor hora. ","")&amp;IF(ISNA(MATCH(D300,Datos!$A$8:$A$22,0)),"Persona fuera del equipo. ","")))</f>
        <v/>
      </c>
      <c r="I300" s="21" t="n"/>
      <c r="J300" s="22" t="n"/>
      <c r="K300" s="23">
        <f>IF(G300="","",IF(J300&lt;&gt;"",MIN(J300,G300),IF(OR(I300="Observada",I300="Rechazada"),0,G300)))</f>
        <v/>
      </c>
      <c r="L300" s="24" t="n"/>
      <c r="M300" s="25">
        <f>IF(OR(A300="",D300=""),0,IF(COUNTIFS($A$2:A300,A300,$D$2:D300,D300)=1,1,0))</f>
        <v/>
      </c>
    </row>
    <row r="301">
      <c r="A301" s="26" t="n"/>
      <c r="B301" s="27" t="n"/>
      <c r="C301" s="27" t="n"/>
      <c r="D301" s="28" t="n"/>
      <c r="E301" s="28" t="n"/>
      <c r="F301" s="29" t="n"/>
      <c r="G301" s="30" t="n"/>
      <c r="H301" s="20">
        <f>IF(A301="","",TRIM(IF(WEEKDAY(A301,2)&gt;5,"Fin de semana. ","")&amp;IF(SUMIFS($G$2:$G$601,$A$2:$A$601,A301,$D$2:$D$601,D301)&gt;9,"Más de 9 h en el día. ","")&amp;IF(AND(B301&lt;&gt;"",C301&lt;&gt;"",C301&lt;B301),"Cruza la medianoche. ","")&amp;IF(LEN(TRIM(F301))&lt;15,"Sin descripción suficiente. ","")&amp;IF(AND(ISERROR(SEARCH("R-0",F301)),ISERROR(SEARCH("CU-",F301))),"Sin ticket. ","")&amp;IF(ISNA(MATCH(E301,Datos!$E$8:$E$22,0)),"Proyecto sin valor hora. ","")&amp;IF(ISNA(MATCH(D301,Datos!$A$8:$A$22,0)),"Persona fuera del equipo. ","")))</f>
        <v/>
      </c>
      <c r="I301" s="21" t="n"/>
      <c r="J301" s="22" t="n"/>
      <c r="K301" s="23">
        <f>IF(G301="","",IF(J301&lt;&gt;"",MIN(J301,G301),IF(OR(I301="Observada",I301="Rechazada"),0,G301)))</f>
        <v/>
      </c>
      <c r="L301" s="24" t="n"/>
      <c r="M301" s="25">
        <f>IF(OR(A301="",D301=""),0,IF(COUNTIFS($A$2:A301,A301,$D$2:D301,D301)=1,1,0))</f>
        <v/>
      </c>
    </row>
    <row r="302">
      <c r="A302" s="26" t="n"/>
      <c r="B302" s="27" t="n"/>
      <c r="C302" s="27" t="n"/>
      <c r="D302" s="28" t="n"/>
      <c r="E302" s="28" t="n"/>
      <c r="F302" s="29" t="n"/>
      <c r="G302" s="30" t="n"/>
      <c r="H302" s="20">
        <f>IF(A302="","",TRIM(IF(WEEKDAY(A302,2)&gt;5,"Fin de semana. ","")&amp;IF(SUMIFS($G$2:$G$601,$A$2:$A$601,A302,$D$2:$D$601,D302)&gt;9,"Más de 9 h en el día. ","")&amp;IF(AND(B302&lt;&gt;"",C302&lt;&gt;"",C302&lt;B302),"Cruza la medianoche. ","")&amp;IF(LEN(TRIM(F302))&lt;15,"Sin descripción suficiente. ","")&amp;IF(AND(ISERROR(SEARCH("R-0",F302)),ISERROR(SEARCH("CU-",F302))),"Sin ticket. ","")&amp;IF(ISNA(MATCH(E302,Datos!$E$8:$E$22,0)),"Proyecto sin valor hora. ","")&amp;IF(ISNA(MATCH(D302,Datos!$A$8:$A$22,0)),"Persona fuera del equipo. ","")))</f>
        <v/>
      </c>
      <c r="I302" s="21" t="n"/>
      <c r="J302" s="22" t="n"/>
      <c r="K302" s="23">
        <f>IF(G302="","",IF(J302&lt;&gt;"",MIN(J302,G302),IF(OR(I302="Observada",I302="Rechazada"),0,G302)))</f>
        <v/>
      </c>
      <c r="L302" s="24" t="n"/>
      <c r="M302" s="25">
        <f>IF(OR(A302="",D302=""),0,IF(COUNTIFS($A$2:A302,A302,$D$2:D302,D302)=1,1,0))</f>
        <v/>
      </c>
    </row>
    <row r="303">
      <c r="A303" s="26" t="n"/>
      <c r="B303" s="27" t="n"/>
      <c r="C303" s="27" t="n"/>
      <c r="D303" s="28" t="n"/>
      <c r="E303" s="28" t="n"/>
      <c r="F303" s="29" t="n"/>
      <c r="G303" s="30" t="n"/>
      <c r="H303" s="20">
        <f>IF(A303="","",TRIM(IF(WEEKDAY(A303,2)&gt;5,"Fin de semana. ","")&amp;IF(SUMIFS($G$2:$G$601,$A$2:$A$601,A303,$D$2:$D$601,D303)&gt;9,"Más de 9 h en el día. ","")&amp;IF(AND(B303&lt;&gt;"",C303&lt;&gt;"",C303&lt;B303),"Cruza la medianoche. ","")&amp;IF(LEN(TRIM(F303))&lt;15,"Sin descripción suficiente. ","")&amp;IF(AND(ISERROR(SEARCH("R-0",F303)),ISERROR(SEARCH("CU-",F303))),"Sin ticket. ","")&amp;IF(ISNA(MATCH(E303,Datos!$E$8:$E$22,0)),"Proyecto sin valor hora. ","")&amp;IF(ISNA(MATCH(D303,Datos!$A$8:$A$22,0)),"Persona fuera del equipo. ","")))</f>
        <v/>
      </c>
      <c r="I303" s="21" t="n"/>
      <c r="J303" s="22" t="n"/>
      <c r="K303" s="23">
        <f>IF(G303="","",IF(J303&lt;&gt;"",MIN(J303,G303),IF(OR(I303="Observada",I303="Rechazada"),0,G303)))</f>
        <v/>
      </c>
      <c r="L303" s="24" t="n"/>
      <c r="M303" s="25">
        <f>IF(OR(A303="",D303=""),0,IF(COUNTIFS($A$2:A303,A303,$D$2:D303,D303)=1,1,0))</f>
        <v/>
      </c>
    </row>
    <row r="304">
      <c r="A304" s="26" t="n"/>
      <c r="B304" s="27" t="n"/>
      <c r="C304" s="27" t="n"/>
      <c r="D304" s="28" t="n"/>
      <c r="E304" s="28" t="n"/>
      <c r="F304" s="29" t="n"/>
      <c r="G304" s="30" t="n"/>
      <c r="H304" s="20">
        <f>IF(A304="","",TRIM(IF(WEEKDAY(A304,2)&gt;5,"Fin de semana. ","")&amp;IF(SUMIFS($G$2:$G$601,$A$2:$A$601,A304,$D$2:$D$601,D304)&gt;9,"Más de 9 h en el día. ","")&amp;IF(AND(B304&lt;&gt;"",C304&lt;&gt;"",C304&lt;B304),"Cruza la medianoche. ","")&amp;IF(LEN(TRIM(F304))&lt;15,"Sin descripción suficiente. ","")&amp;IF(AND(ISERROR(SEARCH("R-0",F304)),ISERROR(SEARCH("CU-",F304))),"Sin ticket. ","")&amp;IF(ISNA(MATCH(E304,Datos!$E$8:$E$22,0)),"Proyecto sin valor hora. ","")&amp;IF(ISNA(MATCH(D304,Datos!$A$8:$A$22,0)),"Persona fuera del equipo. ","")))</f>
        <v/>
      </c>
      <c r="I304" s="21" t="n"/>
      <c r="J304" s="22" t="n"/>
      <c r="K304" s="23">
        <f>IF(G304="","",IF(J304&lt;&gt;"",MIN(J304,G304),IF(OR(I304="Observada",I304="Rechazada"),0,G304)))</f>
        <v/>
      </c>
      <c r="L304" s="24" t="n"/>
      <c r="M304" s="25">
        <f>IF(OR(A304="",D304=""),0,IF(COUNTIFS($A$2:A304,A304,$D$2:D304,D304)=1,1,0))</f>
        <v/>
      </c>
    </row>
    <row r="305">
      <c r="A305" s="26" t="n"/>
      <c r="B305" s="27" t="n"/>
      <c r="C305" s="27" t="n"/>
      <c r="D305" s="28" t="n"/>
      <c r="E305" s="28" t="n"/>
      <c r="F305" s="29" t="n"/>
      <c r="G305" s="30" t="n"/>
      <c r="H305" s="20">
        <f>IF(A305="","",TRIM(IF(WEEKDAY(A305,2)&gt;5,"Fin de semana. ","")&amp;IF(SUMIFS($G$2:$G$601,$A$2:$A$601,A305,$D$2:$D$601,D305)&gt;9,"Más de 9 h en el día. ","")&amp;IF(AND(B305&lt;&gt;"",C305&lt;&gt;"",C305&lt;B305),"Cruza la medianoche. ","")&amp;IF(LEN(TRIM(F305))&lt;15,"Sin descripción suficiente. ","")&amp;IF(AND(ISERROR(SEARCH("R-0",F305)),ISERROR(SEARCH("CU-",F305))),"Sin ticket. ","")&amp;IF(ISNA(MATCH(E305,Datos!$E$8:$E$22,0)),"Proyecto sin valor hora. ","")&amp;IF(ISNA(MATCH(D305,Datos!$A$8:$A$22,0)),"Persona fuera del equipo. ","")))</f>
        <v/>
      </c>
      <c r="I305" s="21" t="n"/>
      <c r="J305" s="22" t="n"/>
      <c r="K305" s="23">
        <f>IF(G305="","",IF(J305&lt;&gt;"",MIN(J305,G305),IF(OR(I305="Observada",I305="Rechazada"),0,G305)))</f>
        <v/>
      </c>
      <c r="L305" s="24" t="n"/>
      <c r="M305" s="25">
        <f>IF(OR(A305="",D305=""),0,IF(COUNTIFS($A$2:A305,A305,$D$2:D305,D305)=1,1,0))</f>
        <v/>
      </c>
    </row>
    <row r="306">
      <c r="A306" s="26" t="n"/>
      <c r="B306" s="27" t="n"/>
      <c r="C306" s="27" t="n"/>
      <c r="D306" s="28" t="n"/>
      <c r="E306" s="28" t="n"/>
      <c r="F306" s="29" t="n"/>
      <c r="G306" s="30" t="n"/>
      <c r="H306" s="20">
        <f>IF(A306="","",TRIM(IF(WEEKDAY(A306,2)&gt;5,"Fin de semana. ","")&amp;IF(SUMIFS($G$2:$G$601,$A$2:$A$601,A306,$D$2:$D$601,D306)&gt;9,"Más de 9 h en el día. ","")&amp;IF(AND(B306&lt;&gt;"",C306&lt;&gt;"",C306&lt;B306),"Cruza la medianoche. ","")&amp;IF(LEN(TRIM(F306))&lt;15,"Sin descripción suficiente. ","")&amp;IF(AND(ISERROR(SEARCH("R-0",F306)),ISERROR(SEARCH("CU-",F306))),"Sin ticket. ","")&amp;IF(ISNA(MATCH(E306,Datos!$E$8:$E$22,0)),"Proyecto sin valor hora. ","")&amp;IF(ISNA(MATCH(D306,Datos!$A$8:$A$22,0)),"Persona fuera del equipo. ","")))</f>
        <v/>
      </c>
      <c r="I306" s="21" t="n"/>
      <c r="J306" s="22" t="n"/>
      <c r="K306" s="23">
        <f>IF(G306="","",IF(J306&lt;&gt;"",MIN(J306,G306),IF(OR(I306="Observada",I306="Rechazada"),0,G306)))</f>
        <v/>
      </c>
      <c r="L306" s="24" t="n"/>
      <c r="M306" s="25">
        <f>IF(OR(A306="",D306=""),0,IF(COUNTIFS($A$2:A306,A306,$D$2:D306,D306)=1,1,0))</f>
        <v/>
      </c>
    </row>
    <row r="307">
      <c r="A307" s="26" t="n"/>
      <c r="B307" s="27" t="n"/>
      <c r="C307" s="27" t="n"/>
      <c r="D307" s="28" t="n"/>
      <c r="E307" s="28" t="n"/>
      <c r="F307" s="29" t="n"/>
      <c r="G307" s="30" t="n"/>
      <c r="H307" s="20">
        <f>IF(A307="","",TRIM(IF(WEEKDAY(A307,2)&gt;5,"Fin de semana. ","")&amp;IF(SUMIFS($G$2:$G$601,$A$2:$A$601,A307,$D$2:$D$601,D307)&gt;9,"Más de 9 h en el día. ","")&amp;IF(AND(B307&lt;&gt;"",C307&lt;&gt;"",C307&lt;B307),"Cruza la medianoche. ","")&amp;IF(LEN(TRIM(F307))&lt;15,"Sin descripción suficiente. ","")&amp;IF(AND(ISERROR(SEARCH("R-0",F307)),ISERROR(SEARCH("CU-",F307))),"Sin ticket. ","")&amp;IF(ISNA(MATCH(E307,Datos!$E$8:$E$22,0)),"Proyecto sin valor hora. ","")&amp;IF(ISNA(MATCH(D307,Datos!$A$8:$A$22,0)),"Persona fuera del equipo. ","")))</f>
        <v/>
      </c>
      <c r="I307" s="21" t="n"/>
      <c r="J307" s="22" t="n"/>
      <c r="K307" s="23">
        <f>IF(G307="","",IF(J307&lt;&gt;"",MIN(J307,G307),IF(OR(I307="Observada",I307="Rechazada"),0,G307)))</f>
        <v/>
      </c>
      <c r="L307" s="24" t="n"/>
      <c r="M307" s="25">
        <f>IF(OR(A307="",D307=""),0,IF(COUNTIFS($A$2:A307,A307,$D$2:D307,D307)=1,1,0))</f>
        <v/>
      </c>
    </row>
    <row r="308">
      <c r="A308" s="26" t="n"/>
      <c r="B308" s="27" t="n"/>
      <c r="C308" s="27" t="n"/>
      <c r="D308" s="28" t="n"/>
      <c r="E308" s="28" t="n"/>
      <c r="F308" s="29" t="n"/>
      <c r="G308" s="30" t="n"/>
      <c r="H308" s="20">
        <f>IF(A308="","",TRIM(IF(WEEKDAY(A308,2)&gt;5,"Fin de semana. ","")&amp;IF(SUMIFS($G$2:$G$601,$A$2:$A$601,A308,$D$2:$D$601,D308)&gt;9,"Más de 9 h en el día. ","")&amp;IF(AND(B308&lt;&gt;"",C308&lt;&gt;"",C308&lt;B308),"Cruza la medianoche. ","")&amp;IF(LEN(TRIM(F308))&lt;15,"Sin descripción suficiente. ","")&amp;IF(AND(ISERROR(SEARCH("R-0",F308)),ISERROR(SEARCH("CU-",F308))),"Sin ticket. ","")&amp;IF(ISNA(MATCH(E308,Datos!$E$8:$E$22,0)),"Proyecto sin valor hora. ","")&amp;IF(ISNA(MATCH(D308,Datos!$A$8:$A$22,0)),"Persona fuera del equipo. ","")))</f>
        <v/>
      </c>
      <c r="I308" s="21" t="n"/>
      <c r="J308" s="22" t="n"/>
      <c r="K308" s="23">
        <f>IF(G308="","",IF(J308&lt;&gt;"",MIN(J308,G308),IF(OR(I308="Observada",I308="Rechazada"),0,G308)))</f>
        <v/>
      </c>
      <c r="L308" s="24" t="n"/>
      <c r="M308" s="25">
        <f>IF(OR(A308="",D308=""),0,IF(COUNTIFS($A$2:A308,A308,$D$2:D308,D308)=1,1,0))</f>
        <v/>
      </c>
    </row>
    <row r="309">
      <c r="A309" s="26" t="n"/>
      <c r="B309" s="27" t="n"/>
      <c r="C309" s="27" t="n"/>
      <c r="D309" s="28" t="n"/>
      <c r="E309" s="28" t="n"/>
      <c r="F309" s="29" t="n"/>
      <c r="G309" s="30" t="n"/>
      <c r="H309" s="20">
        <f>IF(A309="","",TRIM(IF(WEEKDAY(A309,2)&gt;5,"Fin de semana. ","")&amp;IF(SUMIFS($G$2:$G$601,$A$2:$A$601,A309,$D$2:$D$601,D309)&gt;9,"Más de 9 h en el día. ","")&amp;IF(AND(B309&lt;&gt;"",C309&lt;&gt;"",C309&lt;B309),"Cruza la medianoche. ","")&amp;IF(LEN(TRIM(F309))&lt;15,"Sin descripción suficiente. ","")&amp;IF(AND(ISERROR(SEARCH("R-0",F309)),ISERROR(SEARCH("CU-",F309))),"Sin ticket. ","")&amp;IF(ISNA(MATCH(E309,Datos!$E$8:$E$22,0)),"Proyecto sin valor hora. ","")&amp;IF(ISNA(MATCH(D309,Datos!$A$8:$A$22,0)),"Persona fuera del equipo. ","")))</f>
        <v/>
      </c>
      <c r="I309" s="21" t="n"/>
      <c r="J309" s="22" t="n"/>
      <c r="K309" s="23">
        <f>IF(G309="","",IF(J309&lt;&gt;"",MIN(J309,G309),IF(OR(I309="Observada",I309="Rechazada"),0,G309)))</f>
        <v/>
      </c>
      <c r="L309" s="24" t="n"/>
      <c r="M309" s="25">
        <f>IF(OR(A309="",D309=""),0,IF(COUNTIFS($A$2:A309,A309,$D$2:D309,D309)=1,1,0))</f>
        <v/>
      </c>
    </row>
    <row r="310">
      <c r="A310" s="26" t="n"/>
      <c r="B310" s="27" t="n"/>
      <c r="C310" s="27" t="n"/>
      <c r="D310" s="28" t="n"/>
      <c r="E310" s="28" t="n"/>
      <c r="F310" s="29" t="n"/>
      <c r="G310" s="30" t="n"/>
      <c r="H310" s="20">
        <f>IF(A310="","",TRIM(IF(WEEKDAY(A310,2)&gt;5,"Fin de semana. ","")&amp;IF(SUMIFS($G$2:$G$601,$A$2:$A$601,A310,$D$2:$D$601,D310)&gt;9,"Más de 9 h en el día. ","")&amp;IF(AND(B310&lt;&gt;"",C310&lt;&gt;"",C310&lt;B310),"Cruza la medianoche. ","")&amp;IF(LEN(TRIM(F310))&lt;15,"Sin descripción suficiente. ","")&amp;IF(AND(ISERROR(SEARCH("R-0",F310)),ISERROR(SEARCH("CU-",F310))),"Sin ticket. ","")&amp;IF(ISNA(MATCH(E310,Datos!$E$8:$E$22,0)),"Proyecto sin valor hora. ","")&amp;IF(ISNA(MATCH(D310,Datos!$A$8:$A$22,0)),"Persona fuera del equipo. ","")))</f>
        <v/>
      </c>
      <c r="I310" s="21" t="n"/>
      <c r="J310" s="22" t="n"/>
      <c r="K310" s="23">
        <f>IF(G310="","",IF(J310&lt;&gt;"",MIN(J310,G310),IF(OR(I310="Observada",I310="Rechazada"),0,G310)))</f>
        <v/>
      </c>
      <c r="L310" s="24" t="n"/>
      <c r="M310" s="25">
        <f>IF(OR(A310="",D310=""),0,IF(COUNTIFS($A$2:A310,A310,$D$2:D310,D310)=1,1,0))</f>
        <v/>
      </c>
    </row>
    <row r="311">
      <c r="A311" s="26" t="n"/>
      <c r="B311" s="27" t="n"/>
      <c r="C311" s="27" t="n"/>
      <c r="D311" s="28" t="n"/>
      <c r="E311" s="28" t="n"/>
      <c r="F311" s="29" t="n"/>
      <c r="G311" s="30" t="n"/>
      <c r="H311" s="20">
        <f>IF(A311="","",TRIM(IF(WEEKDAY(A311,2)&gt;5,"Fin de semana. ","")&amp;IF(SUMIFS($G$2:$G$601,$A$2:$A$601,A311,$D$2:$D$601,D311)&gt;9,"Más de 9 h en el día. ","")&amp;IF(AND(B311&lt;&gt;"",C311&lt;&gt;"",C311&lt;B311),"Cruza la medianoche. ","")&amp;IF(LEN(TRIM(F311))&lt;15,"Sin descripción suficiente. ","")&amp;IF(AND(ISERROR(SEARCH("R-0",F311)),ISERROR(SEARCH("CU-",F311))),"Sin ticket. ","")&amp;IF(ISNA(MATCH(E311,Datos!$E$8:$E$22,0)),"Proyecto sin valor hora. ","")&amp;IF(ISNA(MATCH(D311,Datos!$A$8:$A$22,0)),"Persona fuera del equipo. ","")))</f>
        <v/>
      </c>
      <c r="I311" s="21" t="n"/>
      <c r="J311" s="22" t="n"/>
      <c r="K311" s="23">
        <f>IF(G311="","",IF(J311&lt;&gt;"",MIN(J311,G311),IF(OR(I311="Observada",I311="Rechazada"),0,G311)))</f>
        <v/>
      </c>
      <c r="L311" s="24" t="n"/>
      <c r="M311" s="25">
        <f>IF(OR(A311="",D311=""),0,IF(COUNTIFS($A$2:A311,A311,$D$2:D311,D311)=1,1,0))</f>
        <v/>
      </c>
    </row>
    <row r="312">
      <c r="A312" s="26" t="n"/>
      <c r="B312" s="27" t="n"/>
      <c r="C312" s="27" t="n"/>
      <c r="D312" s="28" t="n"/>
      <c r="E312" s="28" t="n"/>
      <c r="F312" s="29" t="n"/>
      <c r="G312" s="30" t="n"/>
      <c r="H312" s="20">
        <f>IF(A312="","",TRIM(IF(WEEKDAY(A312,2)&gt;5,"Fin de semana. ","")&amp;IF(SUMIFS($G$2:$G$601,$A$2:$A$601,A312,$D$2:$D$601,D312)&gt;9,"Más de 9 h en el día. ","")&amp;IF(AND(B312&lt;&gt;"",C312&lt;&gt;"",C312&lt;B312),"Cruza la medianoche. ","")&amp;IF(LEN(TRIM(F312))&lt;15,"Sin descripción suficiente. ","")&amp;IF(AND(ISERROR(SEARCH("R-0",F312)),ISERROR(SEARCH("CU-",F312))),"Sin ticket. ","")&amp;IF(ISNA(MATCH(E312,Datos!$E$8:$E$22,0)),"Proyecto sin valor hora. ","")&amp;IF(ISNA(MATCH(D312,Datos!$A$8:$A$22,0)),"Persona fuera del equipo. ","")))</f>
        <v/>
      </c>
      <c r="I312" s="21" t="n"/>
      <c r="J312" s="22" t="n"/>
      <c r="K312" s="23">
        <f>IF(G312="","",IF(J312&lt;&gt;"",MIN(J312,G312),IF(OR(I312="Observada",I312="Rechazada"),0,G312)))</f>
        <v/>
      </c>
      <c r="L312" s="24" t="n"/>
      <c r="M312" s="25">
        <f>IF(OR(A312="",D312=""),0,IF(COUNTIFS($A$2:A312,A312,$D$2:D312,D312)=1,1,0))</f>
        <v/>
      </c>
    </row>
    <row r="313">
      <c r="A313" s="26" t="n"/>
      <c r="B313" s="27" t="n"/>
      <c r="C313" s="27" t="n"/>
      <c r="D313" s="28" t="n"/>
      <c r="E313" s="28" t="n"/>
      <c r="F313" s="29" t="n"/>
      <c r="G313" s="30" t="n"/>
      <c r="H313" s="20">
        <f>IF(A313="","",TRIM(IF(WEEKDAY(A313,2)&gt;5,"Fin de semana. ","")&amp;IF(SUMIFS($G$2:$G$601,$A$2:$A$601,A313,$D$2:$D$601,D313)&gt;9,"Más de 9 h en el día. ","")&amp;IF(AND(B313&lt;&gt;"",C313&lt;&gt;"",C313&lt;B313),"Cruza la medianoche. ","")&amp;IF(LEN(TRIM(F313))&lt;15,"Sin descripción suficiente. ","")&amp;IF(AND(ISERROR(SEARCH("R-0",F313)),ISERROR(SEARCH("CU-",F313))),"Sin ticket. ","")&amp;IF(ISNA(MATCH(E313,Datos!$E$8:$E$22,0)),"Proyecto sin valor hora. ","")&amp;IF(ISNA(MATCH(D313,Datos!$A$8:$A$22,0)),"Persona fuera del equipo. ","")))</f>
        <v/>
      </c>
      <c r="I313" s="21" t="n"/>
      <c r="J313" s="22" t="n"/>
      <c r="K313" s="23">
        <f>IF(G313="","",IF(J313&lt;&gt;"",MIN(J313,G313),IF(OR(I313="Observada",I313="Rechazada"),0,G313)))</f>
        <v/>
      </c>
      <c r="L313" s="24" t="n"/>
      <c r="M313" s="25">
        <f>IF(OR(A313="",D313=""),0,IF(COUNTIFS($A$2:A313,A313,$D$2:D313,D313)=1,1,0))</f>
        <v/>
      </c>
    </row>
    <row r="314">
      <c r="A314" s="26" t="n"/>
      <c r="B314" s="27" t="n"/>
      <c r="C314" s="27" t="n"/>
      <c r="D314" s="28" t="n"/>
      <c r="E314" s="28" t="n"/>
      <c r="F314" s="29" t="n"/>
      <c r="G314" s="30" t="n"/>
      <c r="H314" s="20">
        <f>IF(A314="","",TRIM(IF(WEEKDAY(A314,2)&gt;5,"Fin de semana. ","")&amp;IF(SUMIFS($G$2:$G$601,$A$2:$A$601,A314,$D$2:$D$601,D314)&gt;9,"Más de 9 h en el día. ","")&amp;IF(AND(B314&lt;&gt;"",C314&lt;&gt;"",C314&lt;B314),"Cruza la medianoche. ","")&amp;IF(LEN(TRIM(F314))&lt;15,"Sin descripción suficiente. ","")&amp;IF(AND(ISERROR(SEARCH("R-0",F314)),ISERROR(SEARCH("CU-",F314))),"Sin ticket. ","")&amp;IF(ISNA(MATCH(E314,Datos!$E$8:$E$22,0)),"Proyecto sin valor hora. ","")&amp;IF(ISNA(MATCH(D314,Datos!$A$8:$A$22,0)),"Persona fuera del equipo. ","")))</f>
        <v/>
      </c>
      <c r="I314" s="21" t="n"/>
      <c r="J314" s="22" t="n"/>
      <c r="K314" s="23">
        <f>IF(G314="","",IF(J314&lt;&gt;"",MIN(J314,G314),IF(OR(I314="Observada",I314="Rechazada"),0,G314)))</f>
        <v/>
      </c>
      <c r="L314" s="24" t="n"/>
      <c r="M314" s="25">
        <f>IF(OR(A314="",D314=""),0,IF(COUNTIFS($A$2:A314,A314,$D$2:D314,D314)=1,1,0))</f>
        <v/>
      </c>
    </row>
    <row r="315">
      <c r="A315" s="26" t="n"/>
      <c r="B315" s="27" t="n"/>
      <c r="C315" s="27" t="n"/>
      <c r="D315" s="28" t="n"/>
      <c r="E315" s="28" t="n"/>
      <c r="F315" s="29" t="n"/>
      <c r="G315" s="30" t="n"/>
      <c r="H315" s="20">
        <f>IF(A315="","",TRIM(IF(WEEKDAY(A315,2)&gt;5,"Fin de semana. ","")&amp;IF(SUMIFS($G$2:$G$601,$A$2:$A$601,A315,$D$2:$D$601,D315)&gt;9,"Más de 9 h en el día. ","")&amp;IF(AND(B315&lt;&gt;"",C315&lt;&gt;"",C315&lt;B315),"Cruza la medianoche. ","")&amp;IF(LEN(TRIM(F315))&lt;15,"Sin descripción suficiente. ","")&amp;IF(AND(ISERROR(SEARCH("R-0",F315)),ISERROR(SEARCH("CU-",F315))),"Sin ticket. ","")&amp;IF(ISNA(MATCH(E315,Datos!$E$8:$E$22,0)),"Proyecto sin valor hora. ","")&amp;IF(ISNA(MATCH(D315,Datos!$A$8:$A$22,0)),"Persona fuera del equipo. ","")))</f>
        <v/>
      </c>
      <c r="I315" s="21" t="n"/>
      <c r="J315" s="22" t="n"/>
      <c r="K315" s="23">
        <f>IF(G315="","",IF(J315&lt;&gt;"",MIN(J315,G315),IF(OR(I315="Observada",I315="Rechazada"),0,G315)))</f>
        <v/>
      </c>
      <c r="L315" s="24" t="n"/>
      <c r="M315" s="25">
        <f>IF(OR(A315="",D315=""),0,IF(COUNTIFS($A$2:A315,A315,$D$2:D315,D315)=1,1,0))</f>
        <v/>
      </c>
    </row>
    <row r="316">
      <c r="A316" s="26" t="n"/>
      <c r="B316" s="27" t="n"/>
      <c r="C316" s="27" t="n"/>
      <c r="D316" s="28" t="n"/>
      <c r="E316" s="28" t="n"/>
      <c r="F316" s="29" t="n"/>
      <c r="G316" s="30" t="n"/>
      <c r="H316" s="20">
        <f>IF(A316="","",TRIM(IF(WEEKDAY(A316,2)&gt;5,"Fin de semana. ","")&amp;IF(SUMIFS($G$2:$G$601,$A$2:$A$601,A316,$D$2:$D$601,D316)&gt;9,"Más de 9 h en el día. ","")&amp;IF(AND(B316&lt;&gt;"",C316&lt;&gt;"",C316&lt;B316),"Cruza la medianoche. ","")&amp;IF(LEN(TRIM(F316))&lt;15,"Sin descripción suficiente. ","")&amp;IF(AND(ISERROR(SEARCH("R-0",F316)),ISERROR(SEARCH("CU-",F316))),"Sin ticket. ","")&amp;IF(ISNA(MATCH(E316,Datos!$E$8:$E$22,0)),"Proyecto sin valor hora. ","")&amp;IF(ISNA(MATCH(D316,Datos!$A$8:$A$22,0)),"Persona fuera del equipo. ","")))</f>
        <v/>
      </c>
      <c r="I316" s="21" t="n"/>
      <c r="J316" s="22" t="n"/>
      <c r="K316" s="23">
        <f>IF(G316="","",IF(J316&lt;&gt;"",MIN(J316,G316),IF(OR(I316="Observada",I316="Rechazada"),0,G316)))</f>
        <v/>
      </c>
      <c r="L316" s="24" t="n"/>
      <c r="M316" s="25">
        <f>IF(OR(A316="",D316=""),0,IF(COUNTIFS($A$2:A316,A316,$D$2:D316,D316)=1,1,0))</f>
        <v/>
      </c>
    </row>
    <row r="317">
      <c r="A317" s="26" t="n"/>
      <c r="B317" s="27" t="n"/>
      <c r="C317" s="27" t="n"/>
      <c r="D317" s="28" t="n"/>
      <c r="E317" s="28" t="n"/>
      <c r="F317" s="29" t="n"/>
      <c r="G317" s="30" t="n"/>
      <c r="H317" s="20">
        <f>IF(A317="","",TRIM(IF(WEEKDAY(A317,2)&gt;5,"Fin de semana. ","")&amp;IF(SUMIFS($G$2:$G$601,$A$2:$A$601,A317,$D$2:$D$601,D317)&gt;9,"Más de 9 h en el día. ","")&amp;IF(AND(B317&lt;&gt;"",C317&lt;&gt;"",C317&lt;B317),"Cruza la medianoche. ","")&amp;IF(LEN(TRIM(F317))&lt;15,"Sin descripción suficiente. ","")&amp;IF(AND(ISERROR(SEARCH("R-0",F317)),ISERROR(SEARCH("CU-",F317))),"Sin ticket. ","")&amp;IF(ISNA(MATCH(E317,Datos!$E$8:$E$22,0)),"Proyecto sin valor hora. ","")&amp;IF(ISNA(MATCH(D317,Datos!$A$8:$A$22,0)),"Persona fuera del equipo. ","")))</f>
        <v/>
      </c>
      <c r="I317" s="21" t="n"/>
      <c r="J317" s="22" t="n"/>
      <c r="K317" s="23">
        <f>IF(G317="","",IF(J317&lt;&gt;"",MIN(J317,G317),IF(OR(I317="Observada",I317="Rechazada"),0,G317)))</f>
        <v/>
      </c>
      <c r="L317" s="24" t="n"/>
      <c r="M317" s="25">
        <f>IF(OR(A317="",D317=""),0,IF(COUNTIFS($A$2:A317,A317,$D$2:D317,D317)=1,1,0))</f>
        <v/>
      </c>
    </row>
    <row r="318">
      <c r="A318" s="26" t="n"/>
      <c r="B318" s="27" t="n"/>
      <c r="C318" s="27" t="n"/>
      <c r="D318" s="28" t="n"/>
      <c r="E318" s="28" t="n"/>
      <c r="F318" s="29" t="n"/>
      <c r="G318" s="30" t="n"/>
      <c r="H318" s="20">
        <f>IF(A318="","",TRIM(IF(WEEKDAY(A318,2)&gt;5,"Fin de semana. ","")&amp;IF(SUMIFS($G$2:$G$601,$A$2:$A$601,A318,$D$2:$D$601,D318)&gt;9,"Más de 9 h en el día. ","")&amp;IF(AND(B318&lt;&gt;"",C318&lt;&gt;"",C318&lt;B318),"Cruza la medianoche. ","")&amp;IF(LEN(TRIM(F318))&lt;15,"Sin descripción suficiente. ","")&amp;IF(AND(ISERROR(SEARCH("R-0",F318)),ISERROR(SEARCH("CU-",F318))),"Sin ticket. ","")&amp;IF(ISNA(MATCH(E318,Datos!$E$8:$E$22,0)),"Proyecto sin valor hora. ","")&amp;IF(ISNA(MATCH(D318,Datos!$A$8:$A$22,0)),"Persona fuera del equipo. ","")))</f>
        <v/>
      </c>
      <c r="I318" s="21" t="n"/>
      <c r="J318" s="22" t="n"/>
      <c r="K318" s="23">
        <f>IF(G318="","",IF(J318&lt;&gt;"",MIN(J318,G318),IF(OR(I318="Observada",I318="Rechazada"),0,G318)))</f>
        <v/>
      </c>
      <c r="L318" s="24" t="n"/>
      <c r="M318" s="25">
        <f>IF(OR(A318="",D318=""),0,IF(COUNTIFS($A$2:A318,A318,$D$2:D318,D318)=1,1,0))</f>
        <v/>
      </c>
    </row>
    <row r="319">
      <c r="A319" s="26" t="n"/>
      <c r="B319" s="27" t="n"/>
      <c r="C319" s="27" t="n"/>
      <c r="D319" s="28" t="n"/>
      <c r="E319" s="28" t="n"/>
      <c r="F319" s="29" t="n"/>
      <c r="G319" s="30" t="n"/>
      <c r="H319" s="20">
        <f>IF(A319="","",TRIM(IF(WEEKDAY(A319,2)&gt;5,"Fin de semana. ","")&amp;IF(SUMIFS($G$2:$G$601,$A$2:$A$601,A319,$D$2:$D$601,D319)&gt;9,"Más de 9 h en el día. ","")&amp;IF(AND(B319&lt;&gt;"",C319&lt;&gt;"",C319&lt;B319),"Cruza la medianoche. ","")&amp;IF(LEN(TRIM(F319))&lt;15,"Sin descripción suficiente. ","")&amp;IF(AND(ISERROR(SEARCH("R-0",F319)),ISERROR(SEARCH("CU-",F319))),"Sin ticket. ","")&amp;IF(ISNA(MATCH(E319,Datos!$E$8:$E$22,0)),"Proyecto sin valor hora. ","")&amp;IF(ISNA(MATCH(D319,Datos!$A$8:$A$22,0)),"Persona fuera del equipo. ","")))</f>
        <v/>
      </c>
      <c r="I319" s="21" t="n"/>
      <c r="J319" s="22" t="n"/>
      <c r="K319" s="23">
        <f>IF(G319="","",IF(J319&lt;&gt;"",MIN(J319,G319),IF(OR(I319="Observada",I319="Rechazada"),0,G319)))</f>
        <v/>
      </c>
      <c r="L319" s="24" t="n"/>
      <c r="M319" s="25">
        <f>IF(OR(A319="",D319=""),0,IF(COUNTIFS($A$2:A319,A319,$D$2:D319,D319)=1,1,0))</f>
        <v/>
      </c>
    </row>
    <row r="320">
      <c r="A320" s="26" t="n"/>
      <c r="B320" s="27" t="n"/>
      <c r="C320" s="27" t="n"/>
      <c r="D320" s="28" t="n"/>
      <c r="E320" s="28" t="n"/>
      <c r="F320" s="29" t="n"/>
      <c r="G320" s="30" t="n"/>
      <c r="H320" s="20">
        <f>IF(A320="","",TRIM(IF(WEEKDAY(A320,2)&gt;5,"Fin de semana. ","")&amp;IF(SUMIFS($G$2:$G$601,$A$2:$A$601,A320,$D$2:$D$601,D320)&gt;9,"Más de 9 h en el día. ","")&amp;IF(AND(B320&lt;&gt;"",C320&lt;&gt;"",C320&lt;B320),"Cruza la medianoche. ","")&amp;IF(LEN(TRIM(F320))&lt;15,"Sin descripción suficiente. ","")&amp;IF(AND(ISERROR(SEARCH("R-0",F320)),ISERROR(SEARCH("CU-",F320))),"Sin ticket. ","")&amp;IF(ISNA(MATCH(E320,Datos!$E$8:$E$22,0)),"Proyecto sin valor hora. ","")&amp;IF(ISNA(MATCH(D320,Datos!$A$8:$A$22,0)),"Persona fuera del equipo. ","")))</f>
        <v/>
      </c>
      <c r="I320" s="21" t="n"/>
      <c r="J320" s="22" t="n"/>
      <c r="K320" s="23">
        <f>IF(G320="","",IF(J320&lt;&gt;"",MIN(J320,G320),IF(OR(I320="Observada",I320="Rechazada"),0,G320)))</f>
        <v/>
      </c>
      <c r="L320" s="24" t="n"/>
      <c r="M320" s="25">
        <f>IF(OR(A320="",D320=""),0,IF(COUNTIFS($A$2:A320,A320,$D$2:D320,D320)=1,1,0))</f>
        <v/>
      </c>
    </row>
    <row r="321">
      <c r="A321" s="26" t="n"/>
      <c r="B321" s="27" t="n"/>
      <c r="C321" s="27" t="n"/>
      <c r="D321" s="28" t="n"/>
      <c r="E321" s="28" t="n"/>
      <c r="F321" s="29" t="n"/>
      <c r="G321" s="30" t="n"/>
      <c r="H321" s="20">
        <f>IF(A321="","",TRIM(IF(WEEKDAY(A321,2)&gt;5,"Fin de semana. ","")&amp;IF(SUMIFS($G$2:$G$601,$A$2:$A$601,A321,$D$2:$D$601,D321)&gt;9,"Más de 9 h en el día. ","")&amp;IF(AND(B321&lt;&gt;"",C321&lt;&gt;"",C321&lt;B321),"Cruza la medianoche. ","")&amp;IF(LEN(TRIM(F321))&lt;15,"Sin descripción suficiente. ","")&amp;IF(AND(ISERROR(SEARCH("R-0",F321)),ISERROR(SEARCH("CU-",F321))),"Sin ticket. ","")&amp;IF(ISNA(MATCH(E321,Datos!$E$8:$E$22,0)),"Proyecto sin valor hora. ","")&amp;IF(ISNA(MATCH(D321,Datos!$A$8:$A$22,0)),"Persona fuera del equipo. ","")))</f>
        <v/>
      </c>
      <c r="I321" s="21" t="n"/>
      <c r="J321" s="22" t="n"/>
      <c r="K321" s="23">
        <f>IF(G321="","",IF(J321&lt;&gt;"",MIN(J321,G321),IF(OR(I321="Observada",I321="Rechazada"),0,G321)))</f>
        <v/>
      </c>
      <c r="L321" s="24" t="n"/>
      <c r="M321" s="25">
        <f>IF(OR(A321="",D321=""),0,IF(COUNTIFS($A$2:A321,A321,$D$2:D321,D321)=1,1,0))</f>
        <v/>
      </c>
    </row>
    <row r="322">
      <c r="A322" s="26" t="n"/>
      <c r="B322" s="27" t="n"/>
      <c r="C322" s="27" t="n"/>
      <c r="D322" s="28" t="n"/>
      <c r="E322" s="28" t="n"/>
      <c r="F322" s="29" t="n"/>
      <c r="G322" s="30" t="n"/>
      <c r="H322" s="20">
        <f>IF(A322="","",TRIM(IF(WEEKDAY(A322,2)&gt;5,"Fin de semana. ","")&amp;IF(SUMIFS($G$2:$G$601,$A$2:$A$601,A322,$D$2:$D$601,D322)&gt;9,"Más de 9 h en el día. ","")&amp;IF(AND(B322&lt;&gt;"",C322&lt;&gt;"",C322&lt;B322),"Cruza la medianoche. ","")&amp;IF(LEN(TRIM(F322))&lt;15,"Sin descripción suficiente. ","")&amp;IF(AND(ISERROR(SEARCH("R-0",F322)),ISERROR(SEARCH("CU-",F322))),"Sin ticket. ","")&amp;IF(ISNA(MATCH(E322,Datos!$E$8:$E$22,0)),"Proyecto sin valor hora. ","")&amp;IF(ISNA(MATCH(D322,Datos!$A$8:$A$22,0)),"Persona fuera del equipo. ","")))</f>
        <v/>
      </c>
      <c r="I322" s="21" t="n"/>
      <c r="J322" s="22" t="n"/>
      <c r="K322" s="23">
        <f>IF(G322="","",IF(J322&lt;&gt;"",MIN(J322,G322),IF(OR(I322="Observada",I322="Rechazada"),0,G322)))</f>
        <v/>
      </c>
      <c r="L322" s="24" t="n"/>
      <c r="M322" s="25">
        <f>IF(OR(A322="",D322=""),0,IF(COUNTIFS($A$2:A322,A322,$D$2:D322,D322)=1,1,0))</f>
        <v/>
      </c>
    </row>
    <row r="323">
      <c r="A323" s="26" t="n"/>
      <c r="B323" s="27" t="n"/>
      <c r="C323" s="27" t="n"/>
      <c r="D323" s="28" t="n"/>
      <c r="E323" s="28" t="n"/>
      <c r="F323" s="29" t="n"/>
      <c r="G323" s="30" t="n"/>
      <c r="H323" s="20">
        <f>IF(A323="","",TRIM(IF(WEEKDAY(A323,2)&gt;5,"Fin de semana. ","")&amp;IF(SUMIFS($G$2:$G$601,$A$2:$A$601,A323,$D$2:$D$601,D323)&gt;9,"Más de 9 h en el día. ","")&amp;IF(AND(B323&lt;&gt;"",C323&lt;&gt;"",C323&lt;B323),"Cruza la medianoche. ","")&amp;IF(LEN(TRIM(F323))&lt;15,"Sin descripción suficiente. ","")&amp;IF(AND(ISERROR(SEARCH("R-0",F323)),ISERROR(SEARCH("CU-",F323))),"Sin ticket. ","")&amp;IF(ISNA(MATCH(E323,Datos!$E$8:$E$22,0)),"Proyecto sin valor hora. ","")&amp;IF(ISNA(MATCH(D323,Datos!$A$8:$A$22,0)),"Persona fuera del equipo. ","")))</f>
        <v/>
      </c>
      <c r="I323" s="21" t="n"/>
      <c r="J323" s="22" t="n"/>
      <c r="K323" s="23">
        <f>IF(G323="","",IF(J323&lt;&gt;"",MIN(J323,G323),IF(OR(I323="Observada",I323="Rechazada"),0,G323)))</f>
        <v/>
      </c>
      <c r="L323" s="24" t="n"/>
      <c r="M323" s="25">
        <f>IF(OR(A323="",D323=""),0,IF(COUNTIFS($A$2:A323,A323,$D$2:D323,D323)=1,1,0))</f>
        <v/>
      </c>
    </row>
    <row r="324">
      <c r="A324" s="26" t="n"/>
      <c r="B324" s="27" t="n"/>
      <c r="C324" s="27" t="n"/>
      <c r="D324" s="28" t="n"/>
      <c r="E324" s="28" t="n"/>
      <c r="F324" s="29" t="n"/>
      <c r="G324" s="30" t="n"/>
      <c r="H324" s="20">
        <f>IF(A324="","",TRIM(IF(WEEKDAY(A324,2)&gt;5,"Fin de semana. ","")&amp;IF(SUMIFS($G$2:$G$601,$A$2:$A$601,A324,$D$2:$D$601,D324)&gt;9,"Más de 9 h en el día. ","")&amp;IF(AND(B324&lt;&gt;"",C324&lt;&gt;"",C324&lt;B324),"Cruza la medianoche. ","")&amp;IF(LEN(TRIM(F324))&lt;15,"Sin descripción suficiente. ","")&amp;IF(AND(ISERROR(SEARCH("R-0",F324)),ISERROR(SEARCH("CU-",F324))),"Sin ticket. ","")&amp;IF(ISNA(MATCH(E324,Datos!$E$8:$E$22,0)),"Proyecto sin valor hora. ","")&amp;IF(ISNA(MATCH(D324,Datos!$A$8:$A$22,0)),"Persona fuera del equipo. ","")))</f>
        <v/>
      </c>
      <c r="I324" s="21" t="n"/>
      <c r="J324" s="22" t="n"/>
      <c r="K324" s="23">
        <f>IF(G324="","",IF(J324&lt;&gt;"",MIN(J324,G324),IF(OR(I324="Observada",I324="Rechazada"),0,G324)))</f>
        <v/>
      </c>
      <c r="L324" s="24" t="n"/>
      <c r="M324" s="25">
        <f>IF(OR(A324="",D324=""),0,IF(COUNTIFS($A$2:A324,A324,$D$2:D324,D324)=1,1,0))</f>
        <v/>
      </c>
    </row>
    <row r="325">
      <c r="A325" s="26" t="n"/>
      <c r="B325" s="27" t="n"/>
      <c r="C325" s="27" t="n"/>
      <c r="D325" s="28" t="n"/>
      <c r="E325" s="28" t="n"/>
      <c r="F325" s="29" t="n"/>
      <c r="G325" s="30" t="n"/>
      <c r="H325" s="20">
        <f>IF(A325="","",TRIM(IF(WEEKDAY(A325,2)&gt;5,"Fin de semana. ","")&amp;IF(SUMIFS($G$2:$G$601,$A$2:$A$601,A325,$D$2:$D$601,D325)&gt;9,"Más de 9 h en el día. ","")&amp;IF(AND(B325&lt;&gt;"",C325&lt;&gt;"",C325&lt;B325),"Cruza la medianoche. ","")&amp;IF(LEN(TRIM(F325))&lt;15,"Sin descripción suficiente. ","")&amp;IF(AND(ISERROR(SEARCH("R-0",F325)),ISERROR(SEARCH("CU-",F325))),"Sin ticket. ","")&amp;IF(ISNA(MATCH(E325,Datos!$E$8:$E$22,0)),"Proyecto sin valor hora. ","")&amp;IF(ISNA(MATCH(D325,Datos!$A$8:$A$22,0)),"Persona fuera del equipo. ","")))</f>
        <v/>
      </c>
      <c r="I325" s="21" t="n"/>
      <c r="J325" s="22" t="n"/>
      <c r="K325" s="23">
        <f>IF(G325="","",IF(J325&lt;&gt;"",MIN(J325,G325),IF(OR(I325="Observada",I325="Rechazada"),0,G325)))</f>
        <v/>
      </c>
      <c r="L325" s="24" t="n"/>
      <c r="M325" s="25">
        <f>IF(OR(A325="",D325=""),0,IF(COUNTIFS($A$2:A325,A325,$D$2:D325,D325)=1,1,0))</f>
        <v/>
      </c>
    </row>
    <row r="326">
      <c r="A326" s="26" t="n"/>
      <c r="B326" s="27" t="n"/>
      <c r="C326" s="27" t="n"/>
      <c r="D326" s="28" t="n"/>
      <c r="E326" s="28" t="n"/>
      <c r="F326" s="29" t="n"/>
      <c r="G326" s="30" t="n"/>
      <c r="H326" s="20">
        <f>IF(A326="","",TRIM(IF(WEEKDAY(A326,2)&gt;5,"Fin de semana. ","")&amp;IF(SUMIFS($G$2:$G$601,$A$2:$A$601,A326,$D$2:$D$601,D326)&gt;9,"Más de 9 h en el día. ","")&amp;IF(AND(B326&lt;&gt;"",C326&lt;&gt;"",C326&lt;B326),"Cruza la medianoche. ","")&amp;IF(LEN(TRIM(F326))&lt;15,"Sin descripción suficiente. ","")&amp;IF(AND(ISERROR(SEARCH("R-0",F326)),ISERROR(SEARCH("CU-",F326))),"Sin ticket. ","")&amp;IF(ISNA(MATCH(E326,Datos!$E$8:$E$22,0)),"Proyecto sin valor hora. ","")&amp;IF(ISNA(MATCH(D326,Datos!$A$8:$A$22,0)),"Persona fuera del equipo. ","")))</f>
        <v/>
      </c>
      <c r="I326" s="21" t="n"/>
      <c r="J326" s="22" t="n"/>
      <c r="K326" s="23">
        <f>IF(G326="","",IF(J326&lt;&gt;"",MIN(J326,G326),IF(OR(I326="Observada",I326="Rechazada"),0,G326)))</f>
        <v/>
      </c>
      <c r="L326" s="24" t="n"/>
      <c r="M326" s="25">
        <f>IF(OR(A326="",D326=""),0,IF(COUNTIFS($A$2:A326,A326,$D$2:D326,D326)=1,1,0))</f>
        <v/>
      </c>
    </row>
    <row r="327">
      <c r="A327" s="26" t="n"/>
      <c r="B327" s="27" t="n"/>
      <c r="C327" s="27" t="n"/>
      <c r="D327" s="28" t="n"/>
      <c r="E327" s="28" t="n"/>
      <c r="F327" s="29" t="n"/>
      <c r="G327" s="30" t="n"/>
      <c r="H327" s="20">
        <f>IF(A327="","",TRIM(IF(WEEKDAY(A327,2)&gt;5,"Fin de semana. ","")&amp;IF(SUMIFS($G$2:$G$601,$A$2:$A$601,A327,$D$2:$D$601,D327)&gt;9,"Más de 9 h en el día. ","")&amp;IF(AND(B327&lt;&gt;"",C327&lt;&gt;"",C327&lt;B327),"Cruza la medianoche. ","")&amp;IF(LEN(TRIM(F327))&lt;15,"Sin descripción suficiente. ","")&amp;IF(AND(ISERROR(SEARCH("R-0",F327)),ISERROR(SEARCH("CU-",F327))),"Sin ticket. ","")&amp;IF(ISNA(MATCH(E327,Datos!$E$8:$E$22,0)),"Proyecto sin valor hora. ","")&amp;IF(ISNA(MATCH(D327,Datos!$A$8:$A$22,0)),"Persona fuera del equipo. ","")))</f>
        <v/>
      </c>
      <c r="I327" s="21" t="n"/>
      <c r="J327" s="22" t="n"/>
      <c r="K327" s="23">
        <f>IF(G327="","",IF(J327&lt;&gt;"",MIN(J327,G327),IF(OR(I327="Observada",I327="Rechazada"),0,G327)))</f>
        <v/>
      </c>
      <c r="L327" s="24" t="n"/>
      <c r="M327" s="25">
        <f>IF(OR(A327="",D327=""),0,IF(COUNTIFS($A$2:A327,A327,$D$2:D327,D327)=1,1,0))</f>
        <v/>
      </c>
    </row>
    <row r="328">
      <c r="A328" s="26" t="n"/>
      <c r="B328" s="27" t="n"/>
      <c r="C328" s="27" t="n"/>
      <c r="D328" s="28" t="n"/>
      <c r="E328" s="28" t="n"/>
      <c r="F328" s="29" t="n"/>
      <c r="G328" s="30" t="n"/>
      <c r="H328" s="20">
        <f>IF(A328="","",TRIM(IF(WEEKDAY(A328,2)&gt;5,"Fin de semana. ","")&amp;IF(SUMIFS($G$2:$G$601,$A$2:$A$601,A328,$D$2:$D$601,D328)&gt;9,"Más de 9 h en el día. ","")&amp;IF(AND(B328&lt;&gt;"",C328&lt;&gt;"",C328&lt;B328),"Cruza la medianoche. ","")&amp;IF(LEN(TRIM(F328))&lt;15,"Sin descripción suficiente. ","")&amp;IF(AND(ISERROR(SEARCH("R-0",F328)),ISERROR(SEARCH("CU-",F328))),"Sin ticket. ","")&amp;IF(ISNA(MATCH(E328,Datos!$E$8:$E$22,0)),"Proyecto sin valor hora. ","")&amp;IF(ISNA(MATCH(D328,Datos!$A$8:$A$22,0)),"Persona fuera del equipo. ","")))</f>
        <v/>
      </c>
      <c r="I328" s="21" t="n"/>
      <c r="J328" s="22" t="n"/>
      <c r="K328" s="23">
        <f>IF(G328="","",IF(J328&lt;&gt;"",MIN(J328,G328),IF(OR(I328="Observada",I328="Rechazada"),0,G328)))</f>
        <v/>
      </c>
      <c r="L328" s="24" t="n"/>
      <c r="M328" s="25">
        <f>IF(OR(A328="",D328=""),0,IF(COUNTIFS($A$2:A328,A328,$D$2:D328,D328)=1,1,0))</f>
        <v/>
      </c>
    </row>
    <row r="329">
      <c r="A329" s="26" t="n"/>
      <c r="B329" s="27" t="n"/>
      <c r="C329" s="27" t="n"/>
      <c r="D329" s="28" t="n"/>
      <c r="E329" s="28" t="n"/>
      <c r="F329" s="29" t="n"/>
      <c r="G329" s="30" t="n"/>
      <c r="H329" s="20">
        <f>IF(A329="","",TRIM(IF(WEEKDAY(A329,2)&gt;5,"Fin de semana. ","")&amp;IF(SUMIFS($G$2:$G$601,$A$2:$A$601,A329,$D$2:$D$601,D329)&gt;9,"Más de 9 h en el día. ","")&amp;IF(AND(B329&lt;&gt;"",C329&lt;&gt;"",C329&lt;B329),"Cruza la medianoche. ","")&amp;IF(LEN(TRIM(F329))&lt;15,"Sin descripción suficiente. ","")&amp;IF(AND(ISERROR(SEARCH("R-0",F329)),ISERROR(SEARCH("CU-",F329))),"Sin ticket. ","")&amp;IF(ISNA(MATCH(E329,Datos!$E$8:$E$22,0)),"Proyecto sin valor hora. ","")&amp;IF(ISNA(MATCH(D329,Datos!$A$8:$A$22,0)),"Persona fuera del equipo. ","")))</f>
        <v/>
      </c>
      <c r="I329" s="21" t="n"/>
      <c r="J329" s="22" t="n"/>
      <c r="K329" s="23">
        <f>IF(G329="","",IF(J329&lt;&gt;"",MIN(J329,G329),IF(OR(I329="Observada",I329="Rechazada"),0,G329)))</f>
        <v/>
      </c>
      <c r="L329" s="24" t="n"/>
      <c r="M329" s="25">
        <f>IF(OR(A329="",D329=""),0,IF(COUNTIFS($A$2:A329,A329,$D$2:D329,D329)=1,1,0))</f>
        <v/>
      </c>
    </row>
    <row r="330">
      <c r="A330" s="26" t="n"/>
      <c r="B330" s="27" t="n"/>
      <c r="C330" s="27" t="n"/>
      <c r="D330" s="28" t="n"/>
      <c r="E330" s="28" t="n"/>
      <c r="F330" s="29" t="n"/>
      <c r="G330" s="30" t="n"/>
      <c r="H330" s="20">
        <f>IF(A330="","",TRIM(IF(WEEKDAY(A330,2)&gt;5,"Fin de semana. ","")&amp;IF(SUMIFS($G$2:$G$601,$A$2:$A$601,A330,$D$2:$D$601,D330)&gt;9,"Más de 9 h en el día. ","")&amp;IF(AND(B330&lt;&gt;"",C330&lt;&gt;"",C330&lt;B330),"Cruza la medianoche. ","")&amp;IF(LEN(TRIM(F330))&lt;15,"Sin descripción suficiente. ","")&amp;IF(AND(ISERROR(SEARCH("R-0",F330)),ISERROR(SEARCH("CU-",F330))),"Sin ticket. ","")&amp;IF(ISNA(MATCH(E330,Datos!$E$8:$E$22,0)),"Proyecto sin valor hora. ","")&amp;IF(ISNA(MATCH(D330,Datos!$A$8:$A$22,0)),"Persona fuera del equipo. ","")))</f>
        <v/>
      </c>
      <c r="I330" s="21" t="n"/>
      <c r="J330" s="22" t="n"/>
      <c r="K330" s="23">
        <f>IF(G330="","",IF(J330&lt;&gt;"",MIN(J330,G330),IF(OR(I330="Observada",I330="Rechazada"),0,G330)))</f>
        <v/>
      </c>
      <c r="L330" s="24" t="n"/>
      <c r="M330" s="25">
        <f>IF(OR(A330="",D330=""),0,IF(COUNTIFS($A$2:A330,A330,$D$2:D330,D330)=1,1,0))</f>
        <v/>
      </c>
    </row>
    <row r="331">
      <c r="A331" s="26" t="n"/>
      <c r="B331" s="27" t="n"/>
      <c r="C331" s="27" t="n"/>
      <c r="D331" s="28" t="n"/>
      <c r="E331" s="28" t="n"/>
      <c r="F331" s="29" t="n"/>
      <c r="G331" s="30" t="n"/>
      <c r="H331" s="20">
        <f>IF(A331="","",TRIM(IF(WEEKDAY(A331,2)&gt;5,"Fin de semana. ","")&amp;IF(SUMIFS($G$2:$G$601,$A$2:$A$601,A331,$D$2:$D$601,D331)&gt;9,"Más de 9 h en el día. ","")&amp;IF(AND(B331&lt;&gt;"",C331&lt;&gt;"",C331&lt;B331),"Cruza la medianoche. ","")&amp;IF(LEN(TRIM(F331))&lt;15,"Sin descripción suficiente. ","")&amp;IF(AND(ISERROR(SEARCH("R-0",F331)),ISERROR(SEARCH("CU-",F331))),"Sin ticket. ","")&amp;IF(ISNA(MATCH(E331,Datos!$E$8:$E$22,0)),"Proyecto sin valor hora. ","")&amp;IF(ISNA(MATCH(D331,Datos!$A$8:$A$22,0)),"Persona fuera del equipo. ","")))</f>
        <v/>
      </c>
      <c r="I331" s="21" t="n"/>
      <c r="J331" s="22" t="n"/>
      <c r="K331" s="23">
        <f>IF(G331="","",IF(J331&lt;&gt;"",MIN(J331,G331),IF(OR(I331="Observada",I331="Rechazada"),0,G331)))</f>
        <v/>
      </c>
      <c r="L331" s="24" t="n"/>
      <c r="M331" s="25">
        <f>IF(OR(A331="",D331=""),0,IF(COUNTIFS($A$2:A331,A331,$D$2:D331,D331)=1,1,0))</f>
        <v/>
      </c>
    </row>
    <row r="332">
      <c r="A332" s="26" t="n"/>
      <c r="B332" s="27" t="n"/>
      <c r="C332" s="27" t="n"/>
      <c r="D332" s="28" t="n"/>
      <c r="E332" s="28" t="n"/>
      <c r="F332" s="29" t="n"/>
      <c r="G332" s="30" t="n"/>
      <c r="H332" s="20">
        <f>IF(A332="","",TRIM(IF(WEEKDAY(A332,2)&gt;5,"Fin de semana. ","")&amp;IF(SUMIFS($G$2:$G$601,$A$2:$A$601,A332,$D$2:$D$601,D332)&gt;9,"Más de 9 h en el día. ","")&amp;IF(AND(B332&lt;&gt;"",C332&lt;&gt;"",C332&lt;B332),"Cruza la medianoche. ","")&amp;IF(LEN(TRIM(F332))&lt;15,"Sin descripción suficiente. ","")&amp;IF(AND(ISERROR(SEARCH("R-0",F332)),ISERROR(SEARCH("CU-",F332))),"Sin ticket. ","")&amp;IF(ISNA(MATCH(E332,Datos!$E$8:$E$22,0)),"Proyecto sin valor hora. ","")&amp;IF(ISNA(MATCH(D332,Datos!$A$8:$A$22,0)),"Persona fuera del equipo. ","")))</f>
        <v/>
      </c>
      <c r="I332" s="21" t="n"/>
      <c r="J332" s="22" t="n"/>
      <c r="K332" s="23">
        <f>IF(G332="","",IF(J332&lt;&gt;"",MIN(J332,G332),IF(OR(I332="Observada",I332="Rechazada"),0,G332)))</f>
        <v/>
      </c>
      <c r="L332" s="24" t="n"/>
      <c r="M332" s="25">
        <f>IF(OR(A332="",D332=""),0,IF(COUNTIFS($A$2:A332,A332,$D$2:D332,D332)=1,1,0))</f>
        <v/>
      </c>
    </row>
    <row r="333">
      <c r="A333" s="26" t="n"/>
      <c r="B333" s="27" t="n"/>
      <c r="C333" s="27" t="n"/>
      <c r="D333" s="28" t="n"/>
      <c r="E333" s="28" t="n"/>
      <c r="F333" s="29" t="n"/>
      <c r="G333" s="30" t="n"/>
      <c r="H333" s="20">
        <f>IF(A333="","",TRIM(IF(WEEKDAY(A333,2)&gt;5,"Fin de semana. ","")&amp;IF(SUMIFS($G$2:$G$601,$A$2:$A$601,A333,$D$2:$D$601,D333)&gt;9,"Más de 9 h en el día. ","")&amp;IF(AND(B333&lt;&gt;"",C333&lt;&gt;"",C333&lt;B333),"Cruza la medianoche. ","")&amp;IF(LEN(TRIM(F333))&lt;15,"Sin descripción suficiente. ","")&amp;IF(AND(ISERROR(SEARCH("R-0",F333)),ISERROR(SEARCH("CU-",F333))),"Sin ticket. ","")&amp;IF(ISNA(MATCH(E333,Datos!$E$8:$E$22,0)),"Proyecto sin valor hora. ","")&amp;IF(ISNA(MATCH(D333,Datos!$A$8:$A$22,0)),"Persona fuera del equipo. ","")))</f>
        <v/>
      </c>
      <c r="I333" s="21" t="n"/>
      <c r="J333" s="22" t="n"/>
      <c r="K333" s="23">
        <f>IF(G333="","",IF(J333&lt;&gt;"",MIN(J333,G333),IF(OR(I333="Observada",I333="Rechazada"),0,G333)))</f>
        <v/>
      </c>
      <c r="L333" s="24" t="n"/>
      <c r="M333" s="25">
        <f>IF(OR(A333="",D333=""),0,IF(COUNTIFS($A$2:A333,A333,$D$2:D333,D333)=1,1,0))</f>
        <v/>
      </c>
    </row>
    <row r="334">
      <c r="A334" s="26" t="n"/>
      <c r="B334" s="27" t="n"/>
      <c r="C334" s="27" t="n"/>
      <c r="D334" s="28" t="n"/>
      <c r="E334" s="28" t="n"/>
      <c r="F334" s="29" t="n"/>
      <c r="G334" s="30" t="n"/>
      <c r="H334" s="20">
        <f>IF(A334="","",TRIM(IF(WEEKDAY(A334,2)&gt;5,"Fin de semana. ","")&amp;IF(SUMIFS($G$2:$G$601,$A$2:$A$601,A334,$D$2:$D$601,D334)&gt;9,"Más de 9 h en el día. ","")&amp;IF(AND(B334&lt;&gt;"",C334&lt;&gt;"",C334&lt;B334),"Cruza la medianoche. ","")&amp;IF(LEN(TRIM(F334))&lt;15,"Sin descripción suficiente. ","")&amp;IF(AND(ISERROR(SEARCH("R-0",F334)),ISERROR(SEARCH("CU-",F334))),"Sin ticket. ","")&amp;IF(ISNA(MATCH(E334,Datos!$E$8:$E$22,0)),"Proyecto sin valor hora. ","")&amp;IF(ISNA(MATCH(D334,Datos!$A$8:$A$22,0)),"Persona fuera del equipo. ","")))</f>
        <v/>
      </c>
      <c r="I334" s="21" t="n"/>
      <c r="J334" s="22" t="n"/>
      <c r="K334" s="23">
        <f>IF(G334="","",IF(J334&lt;&gt;"",MIN(J334,G334),IF(OR(I334="Observada",I334="Rechazada"),0,G334)))</f>
        <v/>
      </c>
      <c r="L334" s="24" t="n"/>
      <c r="M334" s="25">
        <f>IF(OR(A334="",D334=""),0,IF(COUNTIFS($A$2:A334,A334,$D$2:D334,D334)=1,1,0))</f>
        <v/>
      </c>
    </row>
    <row r="335">
      <c r="A335" s="26" t="n"/>
      <c r="B335" s="27" t="n"/>
      <c r="C335" s="27" t="n"/>
      <c r="D335" s="28" t="n"/>
      <c r="E335" s="28" t="n"/>
      <c r="F335" s="29" t="n"/>
      <c r="G335" s="30" t="n"/>
      <c r="H335" s="20">
        <f>IF(A335="","",TRIM(IF(WEEKDAY(A335,2)&gt;5,"Fin de semana. ","")&amp;IF(SUMIFS($G$2:$G$601,$A$2:$A$601,A335,$D$2:$D$601,D335)&gt;9,"Más de 9 h en el día. ","")&amp;IF(AND(B335&lt;&gt;"",C335&lt;&gt;"",C335&lt;B335),"Cruza la medianoche. ","")&amp;IF(LEN(TRIM(F335))&lt;15,"Sin descripción suficiente. ","")&amp;IF(AND(ISERROR(SEARCH("R-0",F335)),ISERROR(SEARCH("CU-",F335))),"Sin ticket. ","")&amp;IF(ISNA(MATCH(E335,Datos!$E$8:$E$22,0)),"Proyecto sin valor hora. ","")&amp;IF(ISNA(MATCH(D335,Datos!$A$8:$A$22,0)),"Persona fuera del equipo. ","")))</f>
        <v/>
      </c>
      <c r="I335" s="21" t="n"/>
      <c r="J335" s="22" t="n"/>
      <c r="K335" s="23">
        <f>IF(G335="","",IF(J335&lt;&gt;"",MIN(J335,G335),IF(OR(I335="Observada",I335="Rechazada"),0,G335)))</f>
        <v/>
      </c>
      <c r="L335" s="24" t="n"/>
      <c r="M335" s="25">
        <f>IF(OR(A335="",D335=""),0,IF(COUNTIFS($A$2:A335,A335,$D$2:D335,D335)=1,1,0))</f>
        <v/>
      </c>
    </row>
    <row r="336">
      <c r="A336" s="26" t="n"/>
      <c r="B336" s="27" t="n"/>
      <c r="C336" s="27" t="n"/>
      <c r="D336" s="28" t="n"/>
      <c r="E336" s="28" t="n"/>
      <c r="F336" s="29" t="n"/>
      <c r="G336" s="30" t="n"/>
      <c r="H336" s="20">
        <f>IF(A336="","",TRIM(IF(WEEKDAY(A336,2)&gt;5,"Fin de semana. ","")&amp;IF(SUMIFS($G$2:$G$601,$A$2:$A$601,A336,$D$2:$D$601,D336)&gt;9,"Más de 9 h en el día. ","")&amp;IF(AND(B336&lt;&gt;"",C336&lt;&gt;"",C336&lt;B336),"Cruza la medianoche. ","")&amp;IF(LEN(TRIM(F336))&lt;15,"Sin descripción suficiente. ","")&amp;IF(AND(ISERROR(SEARCH("R-0",F336)),ISERROR(SEARCH("CU-",F336))),"Sin ticket. ","")&amp;IF(ISNA(MATCH(E336,Datos!$E$8:$E$22,0)),"Proyecto sin valor hora. ","")&amp;IF(ISNA(MATCH(D336,Datos!$A$8:$A$22,0)),"Persona fuera del equipo. ","")))</f>
        <v/>
      </c>
      <c r="I336" s="21" t="n"/>
      <c r="J336" s="22" t="n"/>
      <c r="K336" s="23">
        <f>IF(G336="","",IF(J336&lt;&gt;"",MIN(J336,G336),IF(OR(I336="Observada",I336="Rechazada"),0,G336)))</f>
        <v/>
      </c>
      <c r="L336" s="24" t="n"/>
      <c r="M336" s="25">
        <f>IF(OR(A336="",D336=""),0,IF(COUNTIFS($A$2:A336,A336,$D$2:D336,D336)=1,1,0))</f>
        <v/>
      </c>
    </row>
    <row r="337">
      <c r="A337" s="26" t="n"/>
      <c r="B337" s="27" t="n"/>
      <c r="C337" s="27" t="n"/>
      <c r="D337" s="28" t="n"/>
      <c r="E337" s="28" t="n"/>
      <c r="F337" s="29" t="n"/>
      <c r="G337" s="30" t="n"/>
      <c r="H337" s="20">
        <f>IF(A337="","",TRIM(IF(WEEKDAY(A337,2)&gt;5,"Fin de semana. ","")&amp;IF(SUMIFS($G$2:$G$601,$A$2:$A$601,A337,$D$2:$D$601,D337)&gt;9,"Más de 9 h en el día. ","")&amp;IF(AND(B337&lt;&gt;"",C337&lt;&gt;"",C337&lt;B337),"Cruza la medianoche. ","")&amp;IF(LEN(TRIM(F337))&lt;15,"Sin descripción suficiente. ","")&amp;IF(AND(ISERROR(SEARCH("R-0",F337)),ISERROR(SEARCH("CU-",F337))),"Sin ticket. ","")&amp;IF(ISNA(MATCH(E337,Datos!$E$8:$E$22,0)),"Proyecto sin valor hora. ","")&amp;IF(ISNA(MATCH(D337,Datos!$A$8:$A$22,0)),"Persona fuera del equipo. ","")))</f>
        <v/>
      </c>
      <c r="I337" s="21" t="n"/>
      <c r="J337" s="22" t="n"/>
      <c r="K337" s="23">
        <f>IF(G337="","",IF(J337&lt;&gt;"",MIN(J337,G337),IF(OR(I337="Observada",I337="Rechazada"),0,G337)))</f>
        <v/>
      </c>
      <c r="L337" s="24" t="n"/>
      <c r="M337" s="25">
        <f>IF(OR(A337="",D337=""),0,IF(COUNTIFS($A$2:A337,A337,$D$2:D337,D337)=1,1,0))</f>
        <v/>
      </c>
    </row>
    <row r="338">
      <c r="A338" s="26" t="n"/>
      <c r="B338" s="27" t="n"/>
      <c r="C338" s="27" t="n"/>
      <c r="D338" s="28" t="n"/>
      <c r="E338" s="28" t="n"/>
      <c r="F338" s="29" t="n"/>
      <c r="G338" s="30" t="n"/>
      <c r="H338" s="20">
        <f>IF(A338="","",TRIM(IF(WEEKDAY(A338,2)&gt;5,"Fin de semana. ","")&amp;IF(SUMIFS($G$2:$G$601,$A$2:$A$601,A338,$D$2:$D$601,D338)&gt;9,"Más de 9 h en el día. ","")&amp;IF(AND(B338&lt;&gt;"",C338&lt;&gt;"",C338&lt;B338),"Cruza la medianoche. ","")&amp;IF(LEN(TRIM(F338))&lt;15,"Sin descripción suficiente. ","")&amp;IF(AND(ISERROR(SEARCH("R-0",F338)),ISERROR(SEARCH("CU-",F338))),"Sin ticket. ","")&amp;IF(ISNA(MATCH(E338,Datos!$E$8:$E$22,0)),"Proyecto sin valor hora. ","")&amp;IF(ISNA(MATCH(D338,Datos!$A$8:$A$22,0)),"Persona fuera del equipo. ","")))</f>
        <v/>
      </c>
      <c r="I338" s="21" t="n"/>
      <c r="J338" s="22" t="n"/>
      <c r="K338" s="23">
        <f>IF(G338="","",IF(J338&lt;&gt;"",MIN(J338,G338),IF(OR(I338="Observada",I338="Rechazada"),0,G338)))</f>
        <v/>
      </c>
      <c r="L338" s="24" t="n"/>
      <c r="M338" s="25">
        <f>IF(OR(A338="",D338=""),0,IF(COUNTIFS($A$2:A338,A338,$D$2:D338,D338)=1,1,0))</f>
        <v/>
      </c>
    </row>
    <row r="339">
      <c r="A339" s="26" t="n"/>
      <c r="B339" s="27" t="n"/>
      <c r="C339" s="27" t="n"/>
      <c r="D339" s="28" t="n"/>
      <c r="E339" s="28" t="n"/>
      <c r="F339" s="29" t="n"/>
      <c r="G339" s="30" t="n"/>
      <c r="H339" s="20">
        <f>IF(A339="","",TRIM(IF(WEEKDAY(A339,2)&gt;5,"Fin de semana. ","")&amp;IF(SUMIFS($G$2:$G$601,$A$2:$A$601,A339,$D$2:$D$601,D339)&gt;9,"Más de 9 h en el día. ","")&amp;IF(AND(B339&lt;&gt;"",C339&lt;&gt;"",C339&lt;B339),"Cruza la medianoche. ","")&amp;IF(LEN(TRIM(F339))&lt;15,"Sin descripción suficiente. ","")&amp;IF(AND(ISERROR(SEARCH("R-0",F339)),ISERROR(SEARCH("CU-",F339))),"Sin ticket. ","")&amp;IF(ISNA(MATCH(E339,Datos!$E$8:$E$22,0)),"Proyecto sin valor hora. ","")&amp;IF(ISNA(MATCH(D339,Datos!$A$8:$A$22,0)),"Persona fuera del equipo. ","")))</f>
        <v/>
      </c>
      <c r="I339" s="21" t="n"/>
      <c r="J339" s="22" t="n"/>
      <c r="K339" s="23">
        <f>IF(G339="","",IF(J339&lt;&gt;"",MIN(J339,G339),IF(OR(I339="Observada",I339="Rechazada"),0,G339)))</f>
        <v/>
      </c>
      <c r="L339" s="24" t="n"/>
      <c r="M339" s="25">
        <f>IF(OR(A339="",D339=""),0,IF(COUNTIFS($A$2:A339,A339,$D$2:D339,D339)=1,1,0))</f>
        <v/>
      </c>
    </row>
    <row r="340">
      <c r="A340" s="26" t="n"/>
      <c r="B340" s="27" t="n"/>
      <c r="C340" s="27" t="n"/>
      <c r="D340" s="28" t="n"/>
      <c r="E340" s="28" t="n"/>
      <c r="F340" s="29" t="n"/>
      <c r="G340" s="30" t="n"/>
      <c r="H340" s="20">
        <f>IF(A340="","",TRIM(IF(WEEKDAY(A340,2)&gt;5,"Fin de semana. ","")&amp;IF(SUMIFS($G$2:$G$601,$A$2:$A$601,A340,$D$2:$D$601,D340)&gt;9,"Más de 9 h en el día. ","")&amp;IF(AND(B340&lt;&gt;"",C340&lt;&gt;"",C340&lt;B340),"Cruza la medianoche. ","")&amp;IF(LEN(TRIM(F340))&lt;15,"Sin descripción suficiente. ","")&amp;IF(AND(ISERROR(SEARCH("R-0",F340)),ISERROR(SEARCH("CU-",F340))),"Sin ticket. ","")&amp;IF(ISNA(MATCH(E340,Datos!$E$8:$E$22,0)),"Proyecto sin valor hora. ","")&amp;IF(ISNA(MATCH(D340,Datos!$A$8:$A$22,0)),"Persona fuera del equipo. ","")))</f>
        <v/>
      </c>
      <c r="I340" s="21" t="n"/>
      <c r="J340" s="22" t="n"/>
      <c r="K340" s="23">
        <f>IF(G340="","",IF(J340&lt;&gt;"",MIN(J340,G340),IF(OR(I340="Observada",I340="Rechazada"),0,G340)))</f>
        <v/>
      </c>
      <c r="L340" s="24" t="n"/>
      <c r="M340" s="25">
        <f>IF(OR(A340="",D340=""),0,IF(COUNTIFS($A$2:A340,A340,$D$2:D340,D340)=1,1,0))</f>
        <v/>
      </c>
    </row>
    <row r="341">
      <c r="A341" s="26" t="n"/>
      <c r="B341" s="27" t="n"/>
      <c r="C341" s="27" t="n"/>
      <c r="D341" s="28" t="n"/>
      <c r="E341" s="28" t="n"/>
      <c r="F341" s="29" t="n"/>
      <c r="G341" s="30" t="n"/>
      <c r="H341" s="20">
        <f>IF(A341="","",TRIM(IF(WEEKDAY(A341,2)&gt;5,"Fin de semana. ","")&amp;IF(SUMIFS($G$2:$G$601,$A$2:$A$601,A341,$D$2:$D$601,D341)&gt;9,"Más de 9 h en el día. ","")&amp;IF(AND(B341&lt;&gt;"",C341&lt;&gt;"",C341&lt;B341),"Cruza la medianoche. ","")&amp;IF(LEN(TRIM(F341))&lt;15,"Sin descripción suficiente. ","")&amp;IF(AND(ISERROR(SEARCH("R-0",F341)),ISERROR(SEARCH("CU-",F341))),"Sin ticket. ","")&amp;IF(ISNA(MATCH(E341,Datos!$E$8:$E$22,0)),"Proyecto sin valor hora. ","")&amp;IF(ISNA(MATCH(D341,Datos!$A$8:$A$22,0)),"Persona fuera del equipo. ","")))</f>
        <v/>
      </c>
      <c r="I341" s="21" t="n"/>
      <c r="J341" s="22" t="n"/>
      <c r="K341" s="23">
        <f>IF(G341="","",IF(J341&lt;&gt;"",MIN(J341,G341),IF(OR(I341="Observada",I341="Rechazada"),0,G341)))</f>
        <v/>
      </c>
      <c r="L341" s="24" t="n"/>
      <c r="M341" s="25">
        <f>IF(OR(A341="",D341=""),0,IF(COUNTIFS($A$2:A341,A341,$D$2:D341,D341)=1,1,0))</f>
        <v/>
      </c>
    </row>
    <row r="342">
      <c r="A342" s="26" t="n"/>
      <c r="B342" s="27" t="n"/>
      <c r="C342" s="27" t="n"/>
      <c r="D342" s="28" t="n"/>
      <c r="E342" s="28" t="n"/>
      <c r="F342" s="29" t="n"/>
      <c r="G342" s="30" t="n"/>
      <c r="H342" s="20">
        <f>IF(A342="","",TRIM(IF(WEEKDAY(A342,2)&gt;5,"Fin de semana. ","")&amp;IF(SUMIFS($G$2:$G$601,$A$2:$A$601,A342,$D$2:$D$601,D342)&gt;9,"Más de 9 h en el día. ","")&amp;IF(AND(B342&lt;&gt;"",C342&lt;&gt;"",C342&lt;B342),"Cruza la medianoche. ","")&amp;IF(LEN(TRIM(F342))&lt;15,"Sin descripción suficiente. ","")&amp;IF(AND(ISERROR(SEARCH("R-0",F342)),ISERROR(SEARCH("CU-",F342))),"Sin ticket. ","")&amp;IF(ISNA(MATCH(E342,Datos!$E$8:$E$22,0)),"Proyecto sin valor hora. ","")&amp;IF(ISNA(MATCH(D342,Datos!$A$8:$A$22,0)),"Persona fuera del equipo. ","")))</f>
        <v/>
      </c>
      <c r="I342" s="21" t="n"/>
      <c r="J342" s="22" t="n"/>
      <c r="K342" s="23">
        <f>IF(G342="","",IF(J342&lt;&gt;"",MIN(J342,G342),IF(OR(I342="Observada",I342="Rechazada"),0,G342)))</f>
        <v/>
      </c>
      <c r="L342" s="24" t="n"/>
      <c r="M342" s="25">
        <f>IF(OR(A342="",D342=""),0,IF(COUNTIFS($A$2:A342,A342,$D$2:D342,D342)=1,1,0))</f>
        <v/>
      </c>
    </row>
    <row r="343">
      <c r="A343" s="26" t="n"/>
      <c r="B343" s="27" t="n"/>
      <c r="C343" s="27" t="n"/>
      <c r="D343" s="28" t="n"/>
      <c r="E343" s="28" t="n"/>
      <c r="F343" s="29" t="n"/>
      <c r="G343" s="30" t="n"/>
      <c r="H343" s="20">
        <f>IF(A343="","",TRIM(IF(WEEKDAY(A343,2)&gt;5,"Fin de semana. ","")&amp;IF(SUMIFS($G$2:$G$601,$A$2:$A$601,A343,$D$2:$D$601,D343)&gt;9,"Más de 9 h en el día. ","")&amp;IF(AND(B343&lt;&gt;"",C343&lt;&gt;"",C343&lt;B343),"Cruza la medianoche. ","")&amp;IF(LEN(TRIM(F343))&lt;15,"Sin descripción suficiente. ","")&amp;IF(AND(ISERROR(SEARCH("R-0",F343)),ISERROR(SEARCH("CU-",F343))),"Sin ticket. ","")&amp;IF(ISNA(MATCH(E343,Datos!$E$8:$E$22,0)),"Proyecto sin valor hora. ","")&amp;IF(ISNA(MATCH(D343,Datos!$A$8:$A$22,0)),"Persona fuera del equipo. ","")))</f>
        <v/>
      </c>
      <c r="I343" s="21" t="n"/>
      <c r="J343" s="22" t="n"/>
      <c r="K343" s="23">
        <f>IF(G343="","",IF(J343&lt;&gt;"",MIN(J343,G343),IF(OR(I343="Observada",I343="Rechazada"),0,G343)))</f>
        <v/>
      </c>
      <c r="L343" s="24" t="n"/>
      <c r="M343" s="25">
        <f>IF(OR(A343="",D343=""),0,IF(COUNTIFS($A$2:A343,A343,$D$2:D343,D343)=1,1,0))</f>
        <v/>
      </c>
    </row>
    <row r="344">
      <c r="A344" s="26" t="n"/>
      <c r="B344" s="27" t="n"/>
      <c r="C344" s="27" t="n"/>
      <c r="D344" s="28" t="n"/>
      <c r="E344" s="28" t="n"/>
      <c r="F344" s="29" t="n"/>
      <c r="G344" s="30" t="n"/>
      <c r="H344" s="20">
        <f>IF(A344="","",TRIM(IF(WEEKDAY(A344,2)&gt;5,"Fin de semana. ","")&amp;IF(SUMIFS($G$2:$G$601,$A$2:$A$601,A344,$D$2:$D$601,D344)&gt;9,"Más de 9 h en el día. ","")&amp;IF(AND(B344&lt;&gt;"",C344&lt;&gt;"",C344&lt;B344),"Cruza la medianoche. ","")&amp;IF(LEN(TRIM(F344))&lt;15,"Sin descripción suficiente. ","")&amp;IF(AND(ISERROR(SEARCH("R-0",F344)),ISERROR(SEARCH("CU-",F344))),"Sin ticket. ","")&amp;IF(ISNA(MATCH(E344,Datos!$E$8:$E$22,0)),"Proyecto sin valor hora. ","")&amp;IF(ISNA(MATCH(D344,Datos!$A$8:$A$22,0)),"Persona fuera del equipo. ","")))</f>
        <v/>
      </c>
      <c r="I344" s="21" t="n"/>
      <c r="J344" s="22" t="n"/>
      <c r="K344" s="23">
        <f>IF(G344="","",IF(J344&lt;&gt;"",MIN(J344,G344),IF(OR(I344="Observada",I344="Rechazada"),0,G344)))</f>
        <v/>
      </c>
      <c r="L344" s="24" t="n"/>
      <c r="M344" s="25">
        <f>IF(OR(A344="",D344=""),0,IF(COUNTIFS($A$2:A344,A344,$D$2:D344,D344)=1,1,0))</f>
        <v/>
      </c>
    </row>
    <row r="345">
      <c r="A345" s="26" t="n"/>
      <c r="B345" s="27" t="n"/>
      <c r="C345" s="27" t="n"/>
      <c r="D345" s="28" t="n"/>
      <c r="E345" s="28" t="n"/>
      <c r="F345" s="29" t="n"/>
      <c r="G345" s="30" t="n"/>
      <c r="H345" s="20">
        <f>IF(A345="","",TRIM(IF(WEEKDAY(A345,2)&gt;5,"Fin de semana. ","")&amp;IF(SUMIFS($G$2:$G$601,$A$2:$A$601,A345,$D$2:$D$601,D345)&gt;9,"Más de 9 h en el día. ","")&amp;IF(AND(B345&lt;&gt;"",C345&lt;&gt;"",C345&lt;B345),"Cruza la medianoche. ","")&amp;IF(LEN(TRIM(F345))&lt;15,"Sin descripción suficiente. ","")&amp;IF(AND(ISERROR(SEARCH("R-0",F345)),ISERROR(SEARCH("CU-",F345))),"Sin ticket. ","")&amp;IF(ISNA(MATCH(E345,Datos!$E$8:$E$22,0)),"Proyecto sin valor hora. ","")&amp;IF(ISNA(MATCH(D345,Datos!$A$8:$A$22,0)),"Persona fuera del equipo. ","")))</f>
        <v/>
      </c>
      <c r="I345" s="21" t="n"/>
      <c r="J345" s="22" t="n"/>
      <c r="K345" s="23">
        <f>IF(G345="","",IF(J345&lt;&gt;"",MIN(J345,G345),IF(OR(I345="Observada",I345="Rechazada"),0,G345)))</f>
        <v/>
      </c>
      <c r="L345" s="24" t="n"/>
      <c r="M345" s="25">
        <f>IF(OR(A345="",D345=""),0,IF(COUNTIFS($A$2:A345,A345,$D$2:D345,D345)=1,1,0))</f>
        <v/>
      </c>
    </row>
    <row r="346">
      <c r="A346" s="26" t="n"/>
      <c r="B346" s="27" t="n"/>
      <c r="C346" s="27" t="n"/>
      <c r="D346" s="28" t="n"/>
      <c r="E346" s="28" t="n"/>
      <c r="F346" s="29" t="n"/>
      <c r="G346" s="30" t="n"/>
      <c r="H346" s="20">
        <f>IF(A346="","",TRIM(IF(WEEKDAY(A346,2)&gt;5,"Fin de semana. ","")&amp;IF(SUMIFS($G$2:$G$601,$A$2:$A$601,A346,$D$2:$D$601,D346)&gt;9,"Más de 9 h en el día. ","")&amp;IF(AND(B346&lt;&gt;"",C346&lt;&gt;"",C346&lt;B346),"Cruza la medianoche. ","")&amp;IF(LEN(TRIM(F346))&lt;15,"Sin descripción suficiente. ","")&amp;IF(AND(ISERROR(SEARCH("R-0",F346)),ISERROR(SEARCH("CU-",F346))),"Sin ticket. ","")&amp;IF(ISNA(MATCH(E346,Datos!$E$8:$E$22,0)),"Proyecto sin valor hora. ","")&amp;IF(ISNA(MATCH(D346,Datos!$A$8:$A$22,0)),"Persona fuera del equipo. ","")))</f>
        <v/>
      </c>
      <c r="I346" s="21" t="n"/>
      <c r="J346" s="22" t="n"/>
      <c r="K346" s="23">
        <f>IF(G346="","",IF(J346&lt;&gt;"",MIN(J346,G346),IF(OR(I346="Observada",I346="Rechazada"),0,G346)))</f>
        <v/>
      </c>
      <c r="L346" s="24" t="n"/>
      <c r="M346" s="25">
        <f>IF(OR(A346="",D346=""),0,IF(COUNTIFS($A$2:A346,A346,$D$2:D346,D346)=1,1,0))</f>
        <v/>
      </c>
    </row>
    <row r="347">
      <c r="A347" s="26" t="n"/>
      <c r="B347" s="27" t="n"/>
      <c r="C347" s="27" t="n"/>
      <c r="D347" s="28" t="n"/>
      <c r="E347" s="28" t="n"/>
      <c r="F347" s="29" t="n"/>
      <c r="G347" s="30" t="n"/>
      <c r="H347" s="20">
        <f>IF(A347="","",TRIM(IF(WEEKDAY(A347,2)&gt;5,"Fin de semana. ","")&amp;IF(SUMIFS($G$2:$G$601,$A$2:$A$601,A347,$D$2:$D$601,D347)&gt;9,"Más de 9 h en el día. ","")&amp;IF(AND(B347&lt;&gt;"",C347&lt;&gt;"",C347&lt;B347),"Cruza la medianoche. ","")&amp;IF(LEN(TRIM(F347))&lt;15,"Sin descripción suficiente. ","")&amp;IF(AND(ISERROR(SEARCH("R-0",F347)),ISERROR(SEARCH("CU-",F347))),"Sin ticket. ","")&amp;IF(ISNA(MATCH(E347,Datos!$E$8:$E$22,0)),"Proyecto sin valor hora. ","")&amp;IF(ISNA(MATCH(D347,Datos!$A$8:$A$22,0)),"Persona fuera del equipo. ","")))</f>
        <v/>
      </c>
      <c r="I347" s="21" t="n"/>
      <c r="J347" s="22" t="n"/>
      <c r="K347" s="23">
        <f>IF(G347="","",IF(J347&lt;&gt;"",MIN(J347,G347),IF(OR(I347="Observada",I347="Rechazada"),0,G347)))</f>
        <v/>
      </c>
      <c r="L347" s="24" t="n"/>
      <c r="M347" s="25">
        <f>IF(OR(A347="",D347=""),0,IF(COUNTIFS($A$2:A347,A347,$D$2:D347,D347)=1,1,0))</f>
        <v/>
      </c>
    </row>
    <row r="348">
      <c r="A348" s="26" t="n"/>
      <c r="B348" s="27" t="n"/>
      <c r="C348" s="27" t="n"/>
      <c r="D348" s="28" t="n"/>
      <c r="E348" s="28" t="n"/>
      <c r="F348" s="29" t="n"/>
      <c r="G348" s="30" t="n"/>
      <c r="H348" s="20">
        <f>IF(A348="","",TRIM(IF(WEEKDAY(A348,2)&gt;5,"Fin de semana. ","")&amp;IF(SUMIFS($G$2:$G$601,$A$2:$A$601,A348,$D$2:$D$601,D348)&gt;9,"Más de 9 h en el día. ","")&amp;IF(AND(B348&lt;&gt;"",C348&lt;&gt;"",C348&lt;B348),"Cruza la medianoche. ","")&amp;IF(LEN(TRIM(F348))&lt;15,"Sin descripción suficiente. ","")&amp;IF(AND(ISERROR(SEARCH("R-0",F348)),ISERROR(SEARCH("CU-",F348))),"Sin ticket. ","")&amp;IF(ISNA(MATCH(E348,Datos!$E$8:$E$22,0)),"Proyecto sin valor hora. ","")&amp;IF(ISNA(MATCH(D348,Datos!$A$8:$A$22,0)),"Persona fuera del equipo. ","")))</f>
        <v/>
      </c>
      <c r="I348" s="21" t="n"/>
      <c r="J348" s="22" t="n"/>
      <c r="K348" s="23">
        <f>IF(G348="","",IF(J348&lt;&gt;"",MIN(J348,G348),IF(OR(I348="Observada",I348="Rechazada"),0,G348)))</f>
        <v/>
      </c>
      <c r="L348" s="24" t="n"/>
      <c r="M348" s="25">
        <f>IF(OR(A348="",D348=""),0,IF(COUNTIFS($A$2:A348,A348,$D$2:D348,D348)=1,1,0))</f>
        <v/>
      </c>
    </row>
    <row r="349">
      <c r="A349" s="26" t="n"/>
      <c r="B349" s="27" t="n"/>
      <c r="C349" s="27" t="n"/>
      <c r="D349" s="28" t="n"/>
      <c r="E349" s="28" t="n"/>
      <c r="F349" s="29" t="n"/>
      <c r="G349" s="30" t="n"/>
      <c r="H349" s="20">
        <f>IF(A349="","",TRIM(IF(WEEKDAY(A349,2)&gt;5,"Fin de semana. ","")&amp;IF(SUMIFS($G$2:$G$601,$A$2:$A$601,A349,$D$2:$D$601,D349)&gt;9,"Más de 9 h en el día. ","")&amp;IF(AND(B349&lt;&gt;"",C349&lt;&gt;"",C349&lt;B349),"Cruza la medianoche. ","")&amp;IF(LEN(TRIM(F349))&lt;15,"Sin descripción suficiente. ","")&amp;IF(AND(ISERROR(SEARCH("R-0",F349)),ISERROR(SEARCH("CU-",F349))),"Sin ticket. ","")&amp;IF(ISNA(MATCH(E349,Datos!$E$8:$E$22,0)),"Proyecto sin valor hora. ","")&amp;IF(ISNA(MATCH(D349,Datos!$A$8:$A$22,0)),"Persona fuera del equipo. ","")))</f>
        <v/>
      </c>
      <c r="I349" s="21" t="n"/>
      <c r="J349" s="22" t="n"/>
      <c r="K349" s="23">
        <f>IF(G349="","",IF(J349&lt;&gt;"",MIN(J349,G349),IF(OR(I349="Observada",I349="Rechazada"),0,G349)))</f>
        <v/>
      </c>
      <c r="L349" s="24" t="n"/>
      <c r="M349" s="25">
        <f>IF(OR(A349="",D349=""),0,IF(COUNTIFS($A$2:A349,A349,$D$2:D349,D349)=1,1,0))</f>
        <v/>
      </c>
    </row>
    <row r="350">
      <c r="A350" s="26" t="n"/>
      <c r="B350" s="27" t="n"/>
      <c r="C350" s="27" t="n"/>
      <c r="D350" s="28" t="n"/>
      <c r="E350" s="28" t="n"/>
      <c r="F350" s="29" t="n"/>
      <c r="G350" s="30" t="n"/>
      <c r="H350" s="20">
        <f>IF(A350="","",TRIM(IF(WEEKDAY(A350,2)&gt;5,"Fin de semana. ","")&amp;IF(SUMIFS($G$2:$G$601,$A$2:$A$601,A350,$D$2:$D$601,D350)&gt;9,"Más de 9 h en el día. ","")&amp;IF(AND(B350&lt;&gt;"",C350&lt;&gt;"",C350&lt;B350),"Cruza la medianoche. ","")&amp;IF(LEN(TRIM(F350))&lt;15,"Sin descripción suficiente. ","")&amp;IF(AND(ISERROR(SEARCH("R-0",F350)),ISERROR(SEARCH("CU-",F350))),"Sin ticket. ","")&amp;IF(ISNA(MATCH(E350,Datos!$E$8:$E$22,0)),"Proyecto sin valor hora. ","")&amp;IF(ISNA(MATCH(D350,Datos!$A$8:$A$22,0)),"Persona fuera del equipo. ","")))</f>
        <v/>
      </c>
      <c r="I350" s="21" t="n"/>
      <c r="J350" s="22" t="n"/>
      <c r="K350" s="23">
        <f>IF(G350="","",IF(J350&lt;&gt;"",MIN(J350,G350),IF(OR(I350="Observada",I350="Rechazada"),0,G350)))</f>
        <v/>
      </c>
      <c r="L350" s="24" t="n"/>
      <c r="M350" s="25">
        <f>IF(OR(A350="",D350=""),0,IF(COUNTIFS($A$2:A350,A350,$D$2:D350,D350)=1,1,0))</f>
        <v/>
      </c>
    </row>
    <row r="351">
      <c r="A351" s="26" t="n"/>
      <c r="B351" s="27" t="n"/>
      <c r="C351" s="27" t="n"/>
      <c r="D351" s="28" t="n"/>
      <c r="E351" s="28" t="n"/>
      <c r="F351" s="29" t="n"/>
      <c r="G351" s="30" t="n"/>
      <c r="H351" s="20">
        <f>IF(A351="","",TRIM(IF(WEEKDAY(A351,2)&gt;5,"Fin de semana. ","")&amp;IF(SUMIFS($G$2:$G$601,$A$2:$A$601,A351,$D$2:$D$601,D351)&gt;9,"Más de 9 h en el día. ","")&amp;IF(AND(B351&lt;&gt;"",C351&lt;&gt;"",C351&lt;B351),"Cruza la medianoche. ","")&amp;IF(LEN(TRIM(F351))&lt;15,"Sin descripción suficiente. ","")&amp;IF(AND(ISERROR(SEARCH("R-0",F351)),ISERROR(SEARCH("CU-",F351))),"Sin ticket. ","")&amp;IF(ISNA(MATCH(E351,Datos!$E$8:$E$22,0)),"Proyecto sin valor hora. ","")&amp;IF(ISNA(MATCH(D351,Datos!$A$8:$A$22,0)),"Persona fuera del equipo. ","")))</f>
        <v/>
      </c>
      <c r="I351" s="21" t="n"/>
      <c r="J351" s="22" t="n"/>
      <c r="K351" s="23">
        <f>IF(G351="","",IF(J351&lt;&gt;"",MIN(J351,G351),IF(OR(I351="Observada",I351="Rechazada"),0,G351)))</f>
        <v/>
      </c>
      <c r="L351" s="24" t="n"/>
      <c r="M351" s="25">
        <f>IF(OR(A351="",D351=""),0,IF(COUNTIFS($A$2:A351,A351,$D$2:D351,D351)=1,1,0))</f>
        <v/>
      </c>
    </row>
    <row r="352">
      <c r="A352" s="26" t="n"/>
      <c r="B352" s="27" t="n"/>
      <c r="C352" s="27" t="n"/>
      <c r="D352" s="28" t="n"/>
      <c r="E352" s="28" t="n"/>
      <c r="F352" s="29" t="n"/>
      <c r="G352" s="30" t="n"/>
      <c r="H352" s="20">
        <f>IF(A352="","",TRIM(IF(WEEKDAY(A352,2)&gt;5,"Fin de semana. ","")&amp;IF(SUMIFS($G$2:$G$601,$A$2:$A$601,A352,$D$2:$D$601,D352)&gt;9,"Más de 9 h en el día. ","")&amp;IF(AND(B352&lt;&gt;"",C352&lt;&gt;"",C352&lt;B352),"Cruza la medianoche. ","")&amp;IF(LEN(TRIM(F352))&lt;15,"Sin descripción suficiente. ","")&amp;IF(AND(ISERROR(SEARCH("R-0",F352)),ISERROR(SEARCH("CU-",F352))),"Sin ticket. ","")&amp;IF(ISNA(MATCH(E352,Datos!$E$8:$E$22,0)),"Proyecto sin valor hora. ","")&amp;IF(ISNA(MATCH(D352,Datos!$A$8:$A$22,0)),"Persona fuera del equipo. ","")))</f>
        <v/>
      </c>
      <c r="I352" s="21" t="n"/>
      <c r="J352" s="22" t="n"/>
      <c r="K352" s="23">
        <f>IF(G352="","",IF(J352&lt;&gt;"",MIN(J352,G352),IF(OR(I352="Observada",I352="Rechazada"),0,G352)))</f>
        <v/>
      </c>
      <c r="L352" s="24" t="n"/>
      <c r="M352" s="25">
        <f>IF(OR(A352="",D352=""),0,IF(COUNTIFS($A$2:A352,A352,$D$2:D352,D352)=1,1,0))</f>
        <v/>
      </c>
    </row>
    <row r="353">
      <c r="A353" s="26" t="n"/>
      <c r="B353" s="27" t="n"/>
      <c r="C353" s="27" t="n"/>
      <c r="D353" s="28" t="n"/>
      <c r="E353" s="28" t="n"/>
      <c r="F353" s="29" t="n"/>
      <c r="G353" s="30" t="n"/>
      <c r="H353" s="20">
        <f>IF(A353="","",TRIM(IF(WEEKDAY(A353,2)&gt;5,"Fin de semana. ","")&amp;IF(SUMIFS($G$2:$G$601,$A$2:$A$601,A353,$D$2:$D$601,D353)&gt;9,"Más de 9 h en el día. ","")&amp;IF(AND(B353&lt;&gt;"",C353&lt;&gt;"",C353&lt;B353),"Cruza la medianoche. ","")&amp;IF(LEN(TRIM(F353))&lt;15,"Sin descripción suficiente. ","")&amp;IF(AND(ISERROR(SEARCH("R-0",F353)),ISERROR(SEARCH("CU-",F353))),"Sin ticket. ","")&amp;IF(ISNA(MATCH(E353,Datos!$E$8:$E$22,0)),"Proyecto sin valor hora. ","")&amp;IF(ISNA(MATCH(D353,Datos!$A$8:$A$22,0)),"Persona fuera del equipo. ","")))</f>
        <v/>
      </c>
      <c r="I353" s="21" t="n"/>
      <c r="J353" s="22" t="n"/>
      <c r="K353" s="23">
        <f>IF(G353="","",IF(J353&lt;&gt;"",MIN(J353,G353),IF(OR(I353="Observada",I353="Rechazada"),0,G353)))</f>
        <v/>
      </c>
      <c r="L353" s="24" t="n"/>
      <c r="M353" s="25">
        <f>IF(OR(A353="",D353=""),0,IF(COUNTIFS($A$2:A353,A353,$D$2:D353,D353)=1,1,0))</f>
        <v/>
      </c>
    </row>
    <row r="354">
      <c r="A354" s="26" t="n"/>
      <c r="B354" s="27" t="n"/>
      <c r="C354" s="27" t="n"/>
      <c r="D354" s="28" t="n"/>
      <c r="E354" s="28" t="n"/>
      <c r="F354" s="29" t="n"/>
      <c r="G354" s="30" t="n"/>
      <c r="H354" s="20">
        <f>IF(A354="","",TRIM(IF(WEEKDAY(A354,2)&gt;5,"Fin de semana. ","")&amp;IF(SUMIFS($G$2:$G$601,$A$2:$A$601,A354,$D$2:$D$601,D354)&gt;9,"Más de 9 h en el día. ","")&amp;IF(AND(B354&lt;&gt;"",C354&lt;&gt;"",C354&lt;B354),"Cruza la medianoche. ","")&amp;IF(LEN(TRIM(F354))&lt;15,"Sin descripción suficiente. ","")&amp;IF(AND(ISERROR(SEARCH("R-0",F354)),ISERROR(SEARCH("CU-",F354))),"Sin ticket. ","")&amp;IF(ISNA(MATCH(E354,Datos!$E$8:$E$22,0)),"Proyecto sin valor hora. ","")&amp;IF(ISNA(MATCH(D354,Datos!$A$8:$A$22,0)),"Persona fuera del equipo. ","")))</f>
        <v/>
      </c>
      <c r="I354" s="21" t="n"/>
      <c r="J354" s="22" t="n"/>
      <c r="K354" s="23">
        <f>IF(G354="","",IF(J354&lt;&gt;"",MIN(J354,G354),IF(OR(I354="Observada",I354="Rechazada"),0,G354)))</f>
        <v/>
      </c>
      <c r="L354" s="24" t="n"/>
      <c r="M354" s="25">
        <f>IF(OR(A354="",D354=""),0,IF(COUNTIFS($A$2:A354,A354,$D$2:D354,D354)=1,1,0))</f>
        <v/>
      </c>
    </row>
    <row r="355">
      <c r="A355" s="26" t="n"/>
      <c r="B355" s="27" t="n"/>
      <c r="C355" s="27" t="n"/>
      <c r="D355" s="28" t="n"/>
      <c r="E355" s="28" t="n"/>
      <c r="F355" s="29" t="n"/>
      <c r="G355" s="30" t="n"/>
      <c r="H355" s="20">
        <f>IF(A355="","",TRIM(IF(WEEKDAY(A355,2)&gt;5,"Fin de semana. ","")&amp;IF(SUMIFS($G$2:$G$601,$A$2:$A$601,A355,$D$2:$D$601,D355)&gt;9,"Más de 9 h en el día. ","")&amp;IF(AND(B355&lt;&gt;"",C355&lt;&gt;"",C355&lt;B355),"Cruza la medianoche. ","")&amp;IF(LEN(TRIM(F355))&lt;15,"Sin descripción suficiente. ","")&amp;IF(AND(ISERROR(SEARCH("R-0",F355)),ISERROR(SEARCH("CU-",F355))),"Sin ticket. ","")&amp;IF(ISNA(MATCH(E355,Datos!$E$8:$E$22,0)),"Proyecto sin valor hora. ","")&amp;IF(ISNA(MATCH(D355,Datos!$A$8:$A$22,0)),"Persona fuera del equipo. ","")))</f>
        <v/>
      </c>
      <c r="I355" s="21" t="n"/>
      <c r="J355" s="22" t="n"/>
      <c r="K355" s="23">
        <f>IF(G355="","",IF(J355&lt;&gt;"",MIN(J355,G355),IF(OR(I355="Observada",I355="Rechazada"),0,G355)))</f>
        <v/>
      </c>
      <c r="L355" s="24" t="n"/>
      <c r="M355" s="25">
        <f>IF(OR(A355="",D355=""),0,IF(COUNTIFS($A$2:A355,A355,$D$2:D355,D355)=1,1,0))</f>
        <v/>
      </c>
    </row>
    <row r="356">
      <c r="A356" s="26" t="n"/>
      <c r="B356" s="27" t="n"/>
      <c r="C356" s="27" t="n"/>
      <c r="D356" s="28" t="n"/>
      <c r="E356" s="28" t="n"/>
      <c r="F356" s="29" t="n"/>
      <c r="G356" s="30" t="n"/>
      <c r="H356" s="20">
        <f>IF(A356="","",TRIM(IF(WEEKDAY(A356,2)&gt;5,"Fin de semana. ","")&amp;IF(SUMIFS($G$2:$G$601,$A$2:$A$601,A356,$D$2:$D$601,D356)&gt;9,"Más de 9 h en el día. ","")&amp;IF(AND(B356&lt;&gt;"",C356&lt;&gt;"",C356&lt;B356),"Cruza la medianoche. ","")&amp;IF(LEN(TRIM(F356))&lt;15,"Sin descripción suficiente. ","")&amp;IF(AND(ISERROR(SEARCH("R-0",F356)),ISERROR(SEARCH("CU-",F356))),"Sin ticket. ","")&amp;IF(ISNA(MATCH(E356,Datos!$E$8:$E$22,0)),"Proyecto sin valor hora. ","")&amp;IF(ISNA(MATCH(D356,Datos!$A$8:$A$22,0)),"Persona fuera del equipo. ","")))</f>
        <v/>
      </c>
      <c r="I356" s="21" t="n"/>
      <c r="J356" s="22" t="n"/>
      <c r="K356" s="23">
        <f>IF(G356="","",IF(J356&lt;&gt;"",MIN(J356,G356),IF(OR(I356="Observada",I356="Rechazada"),0,G356)))</f>
        <v/>
      </c>
      <c r="L356" s="24" t="n"/>
      <c r="M356" s="25">
        <f>IF(OR(A356="",D356=""),0,IF(COUNTIFS($A$2:A356,A356,$D$2:D356,D356)=1,1,0))</f>
        <v/>
      </c>
    </row>
    <row r="357">
      <c r="A357" s="26" t="n"/>
      <c r="B357" s="27" t="n"/>
      <c r="C357" s="27" t="n"/>
      <c r="D357" s="28" t="n"/>
      <c r="E357" s="28" t="n"/>
      <c r="F357" s="29" t="n"/>
      <c r="G357" s="30" t="n"/>
      <c r="H357" s="20">
        <f>IF(A357="","",TRIM(IF(WEEKDAY(A357,2)&gt;5,"Fin de semana. ","")&amp;IF(SUMIFS($G$2:$G$601,$A$2:$A$601,A357,$D$2:$D$601,D357)&gt;9,"Más de 9 h en el día. ","")&amp;IF(AND(B357&lt;&gt;"",C357&lt;&gt;"",C357&lt;B357),"Cruza la medianoche. ","")&amp;IF(LEN(TRIM(F357))&lt;15,"Sin descripción suficiente. ","")&amp;IF(AND(ISERROR(SEARCH("R-0",F357)),ISERROR(SEARCH("CU-",F357))),"Sin ticket. ","")&amp;IF(ISNA(MATCH(E357,Datos!$E$8:$E$22,0)),"Proyecto sin valor hora. ","")&amp;IF(ISNA(MATCH(D357,Datos!$A$8:$A$22,0)),"Persona fuera del equipo. ","")))</f>
        <v/>
      </c>
      <c r="I357" s="21" t="n"/>
      <c r="J357" s="22" t="n"/>
      <c r="K357" s="23">
        <f>IF(G357="","",IF(J357&lt;&gt;"",MIN(J357,G357),IF(OR(I357="Observada",I357="Rechazada"),0,G357)))</f>
        <v/>
      </c>
      <c r="L357" s="24" t="n"/>
      <c r="M357" s="25">
        <f>IF(OR(A357="",D357=""),0,IF(COUNTIFS($A$2:A357,A357,$D$2:D357,D357)=1,1,0))</f>
        <v/>
      </c>
    </row>
    <row r="358">
      <c r="A358" s="26" t="n"/>
      <c r="B358" s="27" t="n"/>
      <c r="C358" s="27" t="n"/>
      <c r="D358" s="28" t="n"/>
      <c r="E358" s="28" t="n"/>
      <c r="F358" s="29" t="n"/>
      <c r="G358" s="30" t="n"/>
      <c r="H358" s="20">
        <f>IF(A358="","",TRIM(IF(WEEKDAY(A358,2)&gt;5,"Fin de semana. ","")&amp;IF(SUMIFS($G$2:$G$601,$A$2:$A$601,A358,$D$2:$D$601,D358)&gt;9,"Más de 9 h en el día. ","")&amp;IF(AND(B358&lt;&gt;"",C358&lt;&gt;"",C358&lt;B358),"Cruza la medianoche. ","")&amp;IF(LEN(TRIM(F358))&lt;15,"Sin descripción suficiente. ","")&amp;IF(AND(ISERROR(SEARCH("R-0",F358)),ISERROR(SEARCH("CU-",F358))),"Sin ticket. ","")&amp;IF(ISNA(MATCH(E358,Datos!$E$8:$E$22,0)),"Proyecto sin valor hora. ","")&amp;IF(ISNA(MATCH(D358,Datos!$A$8:$A$22,0)),"Persona fuera del equipo. ","")))</f>
        <v/>
      </c>
      <c r="I358" s="21" t="n"/>
      <c r="J358" s="22" t="n"/>
      <c r="K358" s="23">
        <f>IF(G358="","",IF(J358&lt;&gt;"",MIN(J358,G358),IF(OR(I358="Observada",I358="Rechazada"),0,G358)))</f>
        <v/>
      </c>
      <c r="L358" s="24" t="n"/>
      <c r="M358" s="25">
        <f>IF(OR(A358="",D358=""),0,IF(COUNTIFS($A$2:A358,A358,$D$2:D358,D358)=1,1,0))</f>
        <v/>
      </c>
    </row>
    <row r="359">
      <c r="A359" s="26" t="n"/>
      <c r="B359" s="27" t="n"/>
      <c r="C359" s="27" t="n"/>
      <c r="D359" s="28" t="n"/>
      <c r="E359" s="28" t="n"/>
      <c r="F359" s="29" t="n"/>
      <c r="G359" s="30" t="n"/>
      <c r="H359" s="20">
        <f>IF(A359="","",TRIM(IF(WEEKDAY(A359,2)&gt;5,"Fin de semana. ","")&amp;IF(SUMIFS($G$2:$G$601,$A$2:$A$601,A359,$D$2:$D$601,D359)&gt;9,"Más de 9 h en el día. ","")&amp;IF(AND(B359&lt;&gt;"",C359&lt;&gt;"",C359&lt;B359),"Cruza la medianoche. ","")&amp;IF(LEN(TRIM(F359))&lt;15,"Sin descripción suficiente. ","")&amp;IF(AND(ISERROR(SEARCH("R-0",F359)),ISERROR(SEARCH("CU-",F359))),"Sin ticket. ","")&amp;IF(ISNA(MATCH(E359,Datos!$E$8:$E$22,0)),"Proyecto sin valor hora. ","")&amp;IF(ISNA(MATCH(D359,Datos!$A$8:$A$22,0)),"Persona fuera del equipo. ","")))</f>
        <v/>
      </c>
      <c r="I359" s="21" t="n"/>
      <c r="J359" s="22" t="n"/>
      <c r="K359" s="23">
        <f>IF(G359="","",IF(J359&lt;&gt;"",MIN(J359,G359),IF(OR(I359="Observada",I359="Rechazada"),0,G359)))</f>
        <v/>
      </c>
      <c r="L359" s="24" t="n"/>
      <c r="M359" s="25">
        <f>IF(OR(A359="",D359=""),0,IF(COUNTIFS($A$2:A359,A359,$D$2:D359,D359)=1,1,0))</f>
        <v/>
      </c>
    </row>
    <row r="360">
      <c r="A360" s="26" t="n"/>
      <c r="B360" s="27" t="n"/>
      <c r="C360" s="27" t="n"/>
      <c r="D360" s="28" t="n"/>
      <c r="E360" s="28" t="n"/>
      <c r="F360" s="29" t="n"/>
      <c r="G360" s="30" t="n"/>
      <c r="H360" s="20">
        <f>IF(A360="","",TRIM(IF(WEEKDAY(A360,2)&gt;5,"Fin de semana. ","")&amp;IF(SUMIFS($G$2:$G$601,$A$2:$A$601,A360,$D$2:$D$601,D360)&gt;9,"Más de 9 h en el día. ","")&amp;IF(AND(B360&lt;&gt;"",C360&lt;&gt;"",C360&lt;B360),"Cruza la medianoche. ","")&amp;IF(LEN(TRIM(F360))&lt;15,"Sin descripción suficiente. ","")&amp;IF(AND(ISERROR(SEARCH("R-0",F360)),ISERROR(SEARCH("CU-",F360))),"Sin ticket. ","")&amp;IF(ISNA(MATCH(E360,Datos!$E$8:$E$22,0)),"Proyecto sin valor hora. ","")&amp;IF(ISNA(MATCH(D360,Datos!$A$8:$A$22,0)),"Persona fuera del equipo. ","")))</f>
        <v/>
      </c>
      <c r="I360" s="21" t="n"/>
      <c r="J360" s="22" t="n"/>
      <c r="K360" s="23">
        <f>IF(G360="","",IF(J360&lt;&gt;"",MIN(J360,G360),IF(OR(I360="Observada",I360="Rechazada"),0,G360)))</f>
        <v/>
      </c>
      <c r="L360" s="24" t="n"/>
      <c r="M360" s="25">
        <f>IF(OR(A360="",D360=""),0,IF(COUNTIFS($A$2:A360,A360,$D$2:D360,D360)=1,1,0))</f>
        <v/>
      </c>
    </row>
    <row r="361">
      <c r="A361" s="26" t="n"/>
      <c r="B361" s="27" t="n"/>
      <c r="C361" s="27" t="n"/>
      <c r="D361" s="28" t="n"/>
      <c r="E361" s="28" t="n"/>
      <c r="F361" s="29" t="n"/>
      <c r="G361" s="30" t="n"/>
      <c r="H361" s="20">
        <f>IF(A361="","",TRIM(IF(WEEKDAY(A361,2)&gt;5,"Fin de semana. ","")&amp;IF(SUMIFS($G$2:$G$601,$A$2:$A$601,A361,$D$2:$D$601,D361)&gt;9,"Más de 9 h en el día. ","")&amp;IF(AND(B361&lt;&gt;"",C361&lt;&gt;"",C361&lt;B361),"Cruza la medianoche. ","")&amp;IF(LEN(TRIM(F361))&lt;15,"Sin descripción suficiente. ","")&amp;IF(AND(ISERROR(SEARCH("R-0",F361)),ISERROR(SEARCH("CU-",F361))),"Sin ticket. ","")&amp;IF(ISNA(MATCH(E361,Datos!$E$8:$E$22,0)),"Proyecto sin valor hora. ","")&amp;IF(ISNA(MATCH(D361,Datos!$A$8:$A$22,0)),"Persona fuera del equipo. ","")))</f>
        <v/>
      </c>
      <c r="I361" s="21" t="n"/>
      <c r="J361" s="22" t="n"/>
      <c r="K361" s="23">
        <f>IF(G361="","",IF(J361&lt;&gt;"",MIN(J361,G361),IF(OR(I361="Observada",I361="Rechazada"),0,G361)))</f>
        <v/>
      </c>
      <c r="L361" s="24" t="n"/>
      <c r="M361" s="25">
        <f>IF(OR(A361="",D361=""),0,IF(COUNTIFS($A$2:A361,A361,$D$2:D361,D361)=1,1,0))</f>
        <v/>
      </c>
    </row>
    <row r="362">
      <c r="A362" s="26" t="n"/>
      <c r="B362" s="27" t="n"/>
      <c r="C362" s="27" t="n"/>
      <c r="D362" s="28" t="n"/>
      <c r="E362" s="28" t="n"/>
      <c r="F362" s="29" t="n"/>
      <c r="G362" s="30" t="n"/>
      <c r="H362" s="20">
        <f>IF(A362="","",TRIM(IF(WEEKDAY(A362,2)&gt;5,"Fin de semana. ","")&amp;IF(SUMIFS($G$2:$G$601,$A$2:$A$601,A362,$D$2:$D$601,D362)&gt;9,"Más de 9 h en el día. ","")&amp;IF(AND(B362&lt;&gt;"",C362&lt;&gt;"",C362&lt;B362),"Cruza la medianoche. ","")&amp;IF(LEN(TRIM(F362))&lt;15,"Sin descripción suficiente. ","")&amp;IF(AND(ISERROR(SEARCH("R-0",F362)),ISERROR(SEARCH("CU-",F362))),"Sin ticket. ","")&amp;IF(ISNA(MATCH(E362,Datos!$E$8:$E$22,0)),"Proyecto sin valor hora. ","")&amp;IF(ISNA(MATCH(D362,Datos!$A$8:$A$22,0)),"Persona fuera del equipo. ","")))</f>
        <v/>
      </c>
      <c r="I362" s="21" t="n"/>
      <c r="J362" s="22" t="n"/>
      <c r="K362" s="23">
        <f>IF(G362="","",IF(J362&lt;&gt;"",MIN(J362,G362),IF(OR(I362="Observada",I362="Rechazada"),0,G362)))</f>
        <v/>
      </c>
      <c r="L362" s="24" t="n"/>
      <c r="M362" s="25">
        <f>IF(OR(A362="",D362=""),0,IF(COUNTIFS($A$2:A362,A362,$D$2:D362,D362)=1,1,0))</f>
        <v/>
      </c>
    </row>
    <row r="363">
      <c r="A363" s="26" t="n"/>
      <c r="B363" s="27" t="n"/>
      <c r="C363" s="27" t="n"/>
      <c r="D363" s="28" t="n"/>
      <c r="E363" s="28" t="n"/>
      <c r="F363" s="29" t="n"/>
      <c r="G363" s="30" t="n"/>
      <c r="H363" s="20">
        <f>IF(A363="","",TRIM(IF(WEEKDAY(A363,2)&gt;5,"Fin de semana. ","")&amp;IF(SUMIFS($G$2:$G$601,$A$2:$A$601,A363,$D$2:$D$601,D363)&gt;9,"Más de 9 h en el día. ","")&amp;IF(AND(B363&lt;&gt;"",C363&lt;&gt;"",C363&lt;B363),"Cruza la medianoche. ","")&amp;IF(LEN(TRIM(F363))&lt;15,"Sin descripción suficiente. ","")&amp;IF(AND(ISERROR(SEARCH("R-0",F363)),ISERROR(SEARCH("CU-",F363))),"Sin ticket. ","")&amp;IF(ISNA(MATCH(E363,Datos!$E$8:$E$22,0)),"Proyecto sin valor hora. ","")&amp;IF(ISNA(MATCH(D363,Datos!$A$8:$A$22,0)),"Persona fuera del equipo. ","")))</f>
        <v/>
      </c>
      <c r="I363" s="21" t="n"/>
      <c r="J363" s="22" t="n"/>
      <c r="K363" s="23">
        <f>IF(G363="","",IF(J363&lt;&gt;"",MIN(J363,G363),IF(OR(I363="Observada",I363="Rechazada"),0,G363)))</f>
        <v/>
      </c>
      <c r="L363" s="24" t="n"/>
      <c r="M363" s="25">
        <f>IF(OR(A363="",D363=""),0,IF(COUNTIFS($A$2:A363,A363,$D$2:D363,D363)=1,1,0))</f>
        <v/>
      </c>
    </row>
    <row r="364">
      <c r="A364" s="26" t="n"/>
      <c r="B364" s="27" t="n"/>
      <c r="C364" s="27" t="n"/>
      <c r="D364" s="28" t="n"/>
      <c r="E364" s="28" t="n"/>
      <c r="F364" s="29" t="n"/>
      <c r="G364" s="30" t="n"/>
      <c r="H364" s="20">
        <f>IF(A364="","",TRIM(IF(WEEKDAY(A364,2)&gt;5,"Fin de semana. ","")&amp;IF(SUMIFS($G$2:$G$601,$A$2:$A$601,A364,$D$2:$D$601,D364)&gt;9,"Más de 9 h en el día. ","")&amp;IF(AND(B364&lt;&gt;"",C364&lt;&gt;"",C364&lt;B364),"Cruza la medianoche. ","")&amp;IF(LEN(TRIM(F364))&lt;15,"Sin descripción suficiente. ","")&amp;IF(AND(ISERROR(SEARCH("R-0",F364)),ISERROR(SEARCH("CU-",F364))),"Sin ticket. ","")&amp;IF(ISNA(MATCH(E364,Datos!$E$8:$E$22,0)),"Proyecto sin valor hora. ","")&amp;IF(ISNA(MATCH(D364,Datos!$A$8:$A$22,0)),"Persona fuera del equipo. ","")))</f>
        <v/>
      </c>
      <c r="I364" s="21" t="n"/>
      <c r="J364" s="22" t="n"/>
      <c r="K364" s="23">
        <f>IF(G364="","",IF(J364&lt;&gt;"",MIN(J364,G364),IF(OR(I364="Observada",I364="Rechazada"),0,G364)))</f>
        <v/>
      </c>
      <c r="L364" s="24" t="n"/>
      <c r="M364" s="25">
        <f>IF(OR(A364="",D364=""),0,IF(COUNTIFS($A$2:A364,A364,$D$2:D364,D364)=1,1,0))</f>
        <v/>
      </c>
    </row>
    <row r="365">
      <c r="A365" s="26" t="n"/>
      <c r="B365" s="27" t="n"/>
      <c r="C365" s="27" t="n"/>
      <c r="D365" s="28" t="n"/>
      <c r="E365" s="28" t="n"/>
      <c r="F365" s="29" t="n"/>
      <c r="G365" s="30" t="n"/>
      <c r="H365" s="20">
        <f>IF(A365="","",TRIM(IF(WEEKDAY(A365,2)&gt;5,"Fin de semana. ","")&amp;IF(SUMIFS($G$2:$G$601,$A$2:$A$601,A365,$D$2:$D$601,D365)&gt;9,"Más de 9 h en el día. ","")&amp;IF(AND(B365&lt;&gt;"",C365&lt;&gt;"",C365&lt;B365),"Cruza la medianoche. ","")&amp;IF(LEN(TRIM(F365))&lt;15,"Sin descripción suficiente. ","")&amp;IF(AND(ISERROR(SEARCH("R-0",F365)),ISERROR(SEARCH("CU-",F365))),"Sin ticket. ","")&amp;IF(ISNA(MATCH(E365,Datos!$E$8:$E$22,0)),"Proyecto sin valor hora. ","")&amp;IF(ISNA(MATCH(D365,Datos!$A$8:$A$22,0)),"Persona fuera del equipo. ","")))</f>
        <v/>
      </c>
      <c r="I365" s="21" t="n"/>
      <c r="J365" s="22" t="n"/>
      <c r="K365" s="23">
        <f>IF(G365="","",IF(J365&lt;&gt;"",MIN(J365,G365),IF(OR(I365="Observada",I365="Rechazada"),0,G365)))</f>
        <v/>
      </c>
      <c r="L365" s="24" t="n"/>
      <c r="M365" s="25">
        <f>IF(OR(A365="",D365=""),0,IF(COUNTIFS($A$2:A365,A365,$D$2:D365,D365)=1,1,0))</f>
        <v/>
      </c>
    </row>
    <row r="366">
      <c r="A366" s="26" t="n"/>
      <c r="B366" s="27" t="n"/>
      <c r="C366" s="27" t="n"/>
      <c r="D366" s="28" t="n"/>
      <c r="E366" s="28" t="n"/>
      <c r="F366" s="29" t="n"/>
      <c r="G366" s="30" t="n"/>
      <c r="H366" s="20">
        <f>IF(A366="","",TRIM(IF(WEEKDAY(A366,2)&gt;5,"Fin de semana. ","")&amp;IF(SUMIFS($G$2:$G$601,$A$2:$A$601,A366,$D$2:$D$601,D366)&gt;9,"Más de 9 h en el día. ","")&amp;IF(AND(B366&lt;&gt;"",C366&lt;&gt;"",C366&lt;B366),"Cruza la medianoche. ","")&amp;IF(LEN(TRIM(F366))&lt;15,"Sin descripción suficiente. ","")&amp;IF(AND(ISERROR(SEARCH("R-0",F366)),ISERROR(SEARCH("CU-",F366))),"Sin ticket. ","")&amp;IF(ISNA(MATCH(E366,Datos!$E$8:$E$22,0)),"Proyecto sin valor hora. ","")&amp;IF(ISNA(MATCH(D366,Datos!$A$8:$A$22,0)),"Persona fuera del equipo. ","")))</f>
        <v/>
      </c>
      <c r="I366" s="21" t="n"/>
      <c r="J366" s="22" t="n"/>
      <c r="K366" s="23">
        <f>IF(G366="","",IF(J366&lt;&gt;"",MIN(J366,G366),IF(OR(I366="Observada",I366="Rechazada"),0,G366)))</f>
        <v/>
      </c>
      <c r="L366" s="24" t="n"/>
      <c r="M366" s="25">
        <f>IF(OR(A366="",D366=""),0,IF(COUNTIFS($A$2:A366,A366,$D$2:D366,D366)=1,1,0))</f>
        <v/>
      </c>
    </row>
    <row r="367">
      <c r="A367" s="26" t="n"/>
      <c r="B367" s="27" t="n"/>
      <c r="C367" s="27" t="n"/>
      <c r="D367" s="28" t="n"/>
      <c r="E367" s="28" t="n"/>
      <c r="F367" s="29" t="n"/>
      <c r="G367" s="30" t="n"/>
      <c r="H367" s="20">
        <f>IF(A367="","",TRIM(IF(WEEKDAY(A367,2)&gt;5,"Fin de semana. ","")&amp;IF(SUMIFS($G$2:$G$601,$A$2:$A$601,A367,$D$2:$D$601,D367)&gt;9,"Más de 9 h en el día. ","")&amp;IF(AND(B367&lt;&gt;"",C367&lt;&gt;"",C367&lt;B367),"Cruza la medianoche. ","")&amp;IF(LEN(TRIM(F367))&lt;15,"Sin descripción suficiente. ","")&amp;IF(AND(ISERROR(SEARCH("R-0",F367)),ISERROR(SEARCH("CU-",F367))),"Sin ticket. ","")&amp;IF(ISNA(MATCH(E367,Datos!$E$8:$E$22,0)),"Proyecto sin valor hora. ","")&amp;IF(ISNA(MATCH(D367,Datos!$A$8:$A$22,0)),"Persona fuera del equipo. ","")))</f>
        <v/>
      </c>
      <c r="I367" s="21" t="n"/>
      <c r="J367" s="22" t="n"/>
      <c r="K367" s="23">
        <f>IF(G367="","",IF(J367&lt;&gt;"",MIN(J367,G367),IF(OR(I367="Observada",I367="Rechazada"),0,G367)))</f>
        <v/>
      </c>
      <c r="L367" s="24" t="n"/>
      <c r="M367" s="25">
        <f>IF(OR(A367="",D367=""),0,IF(COUNTIFS($A$2:A367,A367,$D$2:D367,D367)=1,1,0))</f>
        <v/>
      </c>
    </row>
    <row r="368">
      <c r="A368" s="26" t="n"/>
      <c r="B368" s="27" t="n"/>
      <c r="C368" s="27" t="n"/>
      <c r="D368" s="28" t="n"/>
      <c r="E368" s="28" t="n"/>
      <c r="F368" s="29" t="n"/>
      <c r="G368" s="30" t="n"/>
      <c r="H368" s="20">
        <f>IF(A368="","",TRIM(IF(WEEKDAY(A368,2)&gt;5,"Fin de semana. ","")&amp;IF(SUMIFS($G$2:$G$601,$A$2:$A$601,A368,$D$2:$D$601,D368)&gt;9,"Más de 9 h en el día. ","")&amp;IF(AND(B368&lt;&gt;"",C368&lt;&gt;"",C368&lt;B368),"Cruza la medianoche. ","")&amp;IF(LEN(TRIM(F368))&lt;15,"Sin descripción suficiente. ","")&amp;IF(AND(ISERROR(SEARCH("R-0",F368)),ISERROR(SEARCH("CU-",F368))),"Sin ticket. ","")&amp;IF(ISNA(MATCH(E368,Datos!$E$8:$E$22,0)),"Proyecto sin valor hora. ","")&amp;IF(ISNA(MATCH(D368,Datos!$A$8:$A$22,0)),"Persona fuera del equipo. ","")))</f>
        <v/>
      </c>
      <c r="I368" s="21" t="n"/>
      <c r="J368" s="22" t="n"/>
      <c r="K368" s="23">
        <f>IF(G368="","",IF(J368&lt;&gt;"",MIN(J368,G368),IF(OR(I368="Observada",I368="Rechazada"),0,G368)))</f>
        <v/>
      </c>
      <c r="L368" s="24" t="n"/>
      <c r="M368" s="25">
        <f>IF(OR(A368="",D368=""),0,IF(COUNTIFS($A$2:A368,A368,$D$2:D368,D368)=1,1,0))</f>
        <v/>
      </c>
    </row>
    <row r="369">
      <c r="A369" s="26" t="n"/>
      <c r="B369" s="27" t="n"/>
      <c r="C369" s="27" t="n"/>
      <c r="D369" s="28" t="n"/>
      <c r="E369" s="28" t="n"/>
      <c r="F369" s="29" t="n"/>
      <c r="G369" s="30" t="n"/>
      <c r="H369" s="20">
        <f>IF(A369="","",TRIM(IF(WEEKDAY(A369,2)&gt;5,"Fin de semana. ","")&amp;IF(SUMIFS($G$2:$G$601,$A$2:$A$601,A369,$D$2:$D$601,D369)&gt;9,"Más de 9 h en el día. ","")&amp;IF(AND(B369&lt;&gt;"",C369&lt;&gt;"",C369&lt;B369),"Cruza la medianoche. ","")&amp;IF(LEN(TRIM(F369))&lt;15,"Sin descripción suficiente. ","")&amp;IF(AND(ISERROR(SEARCH("R-0",F369)),ISERROR(SEARCH("CU-",F369))),"Sin ticket. ","")&amp;IF(ISNA(MATCH(E369,Datos!$E$8:$E$22,0)),"Proyecto sin valor hora. ","")&amp;IF(ISNA(MATCH(D369,Datos!$A$8:$A$22,0)),"Persona fuera del equipo. ","")))</f>
        <v/>
      </c>
      <c r="I369" s="21" t="n"/>
      <c r="J369" s="22" t="n"/>
      <c r="K369" s="23">
        <f>IF(G369="","",IF(J369&lt;&gt;"",MIN(J369,G369),IF(OR(I369="Observada",I369="Rechazada"),0,G369)))</f>
        <v/>
      </c>
      <c r="L369" s="24" t="n"/>
      <c r="M369" s="25">
        <f>IF(OR(A369="",D369=""),0,IF(COUNTIFS($A$2:A369,A369,$D$2:D369,D369)=1,1,0))</f>
        <v/>
      </c>
    </row>
    <row r="370">
      <c r="A370" s="26" t="n"/>
      <c r="B370" s="27" t="n"/>
      <c r="C370" s="27" t="n"/>
      <c r="D370" s="28" t="n"/>
      <c r="E370" s="28" t="n"/>
      <c r="F370" s="29" t="n"/>
      <c r="G370" s="30" t="n"/>
      <c r="H370" s="20">
        <f>IF(A370="","",TRIM(IF(WEEKDAY(A370,2)&gt;5,"Fin de semana. ","")&amp;IF(SUMIFS($G$2:$G$601,$A$2:$A$601,A370,$D$2:$D$601,D370)&gt;9,"Más de 9 h en el día. ","")&amp;IF(AND(B370&lt;&gt;"",C370&lt;&gt;"",C370&lt;B370),"Cruza la medianoche. ","")&amp;IF(LEN(TRIM(F370))&lt;15,"Sin descripción suficiente. ","")&amp;IF(AND(ISERROR(SEARCH("R-0",F370)),ISERROR(SEARCH("CU-",F370))),"Sin ticket. ","")&amp;IF(ISNA(MATCH(E370,Datos!$E$8:$E$22,0)),"Proyecto sin valor hora. ","")&amp;IF(ISNA(MATCH(D370,Datos!$A$8:$A$22,0)),"Persona fuera del equipo. ","")))</f>
        <v/>
      </c>
      <c r="I370" s="21" t="n"/>
      <c r="J370" s="22" t="n"/>
      <c r="K370" s="23">
        <f>IF(G370="","",IF(J370&lt;&gt;"",MIN(J370,G370),IF(OR(I370="Observada",I370="Rechazada"),0,G370)))</f>
        <v/>
      </c>
      <c r="L370" s="24" t="n"/>
      <c r="M370" s="25">
        <f>IF(OR(A370="",D370=""),0,IF(COUNTIFS($A$2:A370,A370,$D$2:D370,D370)=1,1,0))</f>
        <v/>
      </c>
    </row>
    <row r="371">
      <c r="A371" s="26" t="n"/>
      <c r="B371" s="27" t="n"/>
      <c r="C371" s="27" t="n"/>
      <c r="D371" s="28" t="n"/>
      <c r="E371" s="28" t="n"/>
      <c r="F371" s="29" t="n"/>
      <c r="G371" s="30" t="n"/>
      <c r="H371" s="20">
        <f>IF(A371="","",TRIM(IF(WEEKDAY(A371,2)&gt;5,"Fin de semana. ","")&amp;IF(SUMIFS($G$2:$G$601,$A$2:$A$601,A371,$D$2:$D$601,D371)&gt;9,"Más de 9 h en el día. ","")&amp;IF(AND(B371&lt;&gt;"",C371&lt;&gt;"",C371&lt;B371),"Cruza la medianoche. ","")&amp;IF(LEN(TRIM(F371))&lt;15,"Sin descripción suficiente. ","")&amp;IF(AND(ISERROR(SEARCH("R-0",F371)),ISERROR(SEARCH("CU-",F371))),"Sin ticket. ","")&amp;IF(ISNA(MATCH(E371,Datos!$E$8:$E$22,0)),"Proyecto sin valor hora. ","")&amp;IF(ISNA(MATCH(D371,Datos!$A$8:$A$22,0)),"Persona fuera del equipo. ","")))</f>
        <v/>
      </c>
      <c r="I371" s="21" t="n"/>
      <c r="J371" s="22" t="n"/>
      <c r="K371" s="23">
        <f>IF(G371="","",IF(J371&lt;&gt;"",MIN(J371,G371),IF(OR(I371="Observada",I371="Rechazada"),0,G371)))</f>
        <v/>
      </c>
      <c r="L371" s="24" t="n"/>
      <c r="M371" s="25">
        <f>IF(OR(A371="",D371=""),0,IF(COUNTIFS($A$2:A371,A371,$D$2:D371,D371)=1,1,0))</f>
        <v/>
      </c>
    </row>
    <row r="372">
      <c r="A372" s="26" t="n"/>
      <c r="B372" s="27" t="n"/>
      <c r="C372" s="27" t="n"/>
      <c r="D372" s="28" t="n"/>
      <c r="E372" s="28" t="n"/>
      <c r="F372" s="29" t="n"/>
      <c r="G372" s="30" t="n"/>
      <c r="H372" s="20">
        <f>IF(A372="","",TRIM(IF(WEEKDAY(A372,2)&gt;5,"Fin de semana. ","")&amp;IF(SUMIFS($G$2:$G$601,$A$2:$A$601,A372,$D$2:$D$601,D372)&gt;9,"Más de 9 h en el día. ","")&amp;IF(AND(B372&lt;&gt;"",C372&lt;&gt;"",C372&lt;B372),"Cruza la medianoche. ","")&amp;IF(LEN(TRIM(F372))&lt;15,"Sin descripción suficiente. ","")&amp;IF(AND(ISERROR(SEARCH("R-0",F372)),ISERROR(SEARCH("CU-",F372))),"Sin ticket. ","")&amp;IF(ISNA(MATCH(E372,Datos!$E$8:$E$22,0)),"Proyecto sin valor hora. ","")&amp;IF(ISNA(MATCH(D372,Datos!$A$8:$A$22,0)),"Persona fuera del equipo. ","")))</f>
        <v/>
      </c>
      <c r="I372" s="21" t="n"/>
      <c r="J372" s="22" t="n"/>
      <c r="K372" s="23">
        <f>IF(G372="","",IF(J372&lt;&gt;"",MIN(J372,G372),IF(OR(I372="Observada",I372="Rechazada"),0,G372)))</f>
        <v/>
      </c>
      <c r="L372" s="24" t="n"/>
      <c r="M372" s="25">
        <f>IF(OR(A372="",D372=""),0,IF(COUNTIFS($A$2:A372,A372,$D$2:D372,D372)=1,1,0))</f>
        <v/>
      </c>
    </row>
    <row r="373">
      <c r="A373" s="26" t="n"/>
      <c r="B373" s="27" t="n"/>
      <c r="C373" s="27" t="n"/>
      <c r="D373" s="28" t="n"/>
      <c r="E373" s="28" t="n"/>
      <c r="F373" s="29" t="n"/>
      <c r="G373" s="30" t="n"/>
      <c r="H373" s="20">
        <f>IF(A373="","",TRIM(IF(WEEKDAY(A373,2)&gt;5,"Fin de semana. ","")&amp;IF(SUMIFS($G$2:$G$601,$A$2:$A$601,A373,$D$2:$D$601,D373)&gt;9,"Más de 9 h en el día. ","")&amp;IF(AND(B373&lt;&gt;"",C373&lt;&gt;"",C373&lt;B373),"Cruza la medianoche. ","")&amp;IF(LEN(TRIM(F373))&lt;15,"Sin descripción suficiente. ","")&amp;IF(AND(ISERROR(SEARCH("R-0",F373)),ISERROR(SEARCH("CU-",F373))),"Sin ticket. ","")&amp;IF(ISNA(MATCH(E373,Datos!$E$8:$E$22,0)),"Proyecto sin valor hora. ","")&amp;IF(ISNA(MATCH(D373,Datos!$A$8:$A$22,0)),"Persona fuera del equipo. ","")))</f>
        <v/>
      </c>
      <c r="I373" s="21" t="n"/>
      <c r="J373" s="22" t="n"/>
      <c r="K373" s="23">
        <f>IF(G373="","",IF(J373&lt;&gt;"",MIN(J373,G373),IF(OR(I373="Observada",I373="Rechazada"),0,G373)))</f>
        <v/>
      </c>
      <c r="L373" s="24" t="n"/>
      <c r="M373" s="25">
        <f>IF(OR(A373="",D373=""),0,IF(COUNTIFS($A$2:A373,A373,$D$2:D373,D373)=1,1,0))</f>
        <v/>
      </c>
    </row>
    <row r="374">
      <c r="A374" s="26" t="n"/>
      <c r="B374" s="27" t="n"/>
      <c r="C374" s="27" t="n"/>
      <c r="D374" s="28" t="n"/>
      <c r="E374" s="28" t="n"/>
      <c r="F374" s="29" t="n"/>
      <c r="G374" s="30" t="n"/>
      <c r="H374" s="20">
        <f>IF(A374="","",TRIM(IF(WEEKDAY(A374,2)&gt;5,"Fin de semana. ","")&amp;IF(SUMIFS($G$2:$G$601,$A$2:$A$601,A374,$D$2:$D$601,D374)&gt;9,"Más de 9 h en el día. ","")&amp;IF(AND(B374&lt;&gt;"",C374&lt;&gt;"",C374&lt;B374),"Cruza la medianoche. ","")&amp;IF(LEN(TRIM(F374))&lt;15,"Sin descripción suficiente. ","")&amp;IF(AND(ISERROR(SEARCH("R-0",F374)),ISERROR(SEARCH("CU-",F374))),"Sin ticket. ","")&amp;IF(ISNA(MATCH(E374,Datos!$E$8:$E$22,0)),"Proyecto sin valor hora. ","")&amp;IF(ISNA(MATCH(D374,Datos!$A$8:$A$22,0)),"Persona fuera del equipo. ","")))</f>
        <v/>
      </c>
      <c r="I374" s="21" t="n"/>
      <c r="J374" s="22" t="n"/>
      <c r="K374" s="23">
        <f>IF(G374="","",IF(J374&lt;&gt;"",MIN(J374,G374),IF(OR(I374="Observada",I374="Rechazada"),0,G374)))</f>
        <v/>
      </c>
      <c r="L374" s="24" t="n"/>
      <c r="M374" s="25">
        <f>IF(OR(A374="",D374=""),0,IF(COUNTIFS($A$2:A374,A374,$D$2:D374,D374)=1,1,0))</f>
        <v/>
      </c>
    </row>
    <row r="375">
      <c r="A375" s="26" t="n"/>
      <c r="B375" s="27" t="n"/>
      <c r="C375" s="27" t="n"/>
      <c r="D375" s="28" t="n"/>
      <c r="E375" s="28" t="n"/>
      <c r="F375" s="29" t="n"/>
      <c r="G375" s="30" t="n"/>
      <c r="H375" s="20">
        <f>IF(A375="","",TRIM(IF(WEEKDAY(A375,2)&gt;5,"Fin de semana. ","")&amp;IF(SUMIFS($G$2:$G$601,$A$2:$A$601,A375,$D$2:$D$601,D375)&gt;9,"Más de 9 h en el día. ","")&amp;IF(AND(B375&lt;&gt;"",C375&lt;&gt;"",C375&lt;B375),"Cruza la medianoche. ","")&amp;IF(LEN(TRIM(F375))&lt;15,"Sin descripción suficiente. ","")&amp;IF(AND(ISERROR(SEARCH("R-0",F375)),ISERROR(SEARCH("CU-",F375))),"Sin ticket. ","")&amp;IF(ISNA(MATCH(E375,Datos!$E$8:$E$22,0)),"Proyecto sin valor hora. ","")&amp;IF(ISNA(MATCH(D375,Datos!$A$8:$A$22,0)),"Persona fuera del equipo. ","")))</f>
        <v/>
      </c>
      <c r="I375" s="21" t="n"/>
      <c r="J375" s="22" t="n"/>
      <c r="K375" s="23">
        <f>IF(G375="","",IF(J375&lt;&gt;"",MIN(J375,G375),IF(OR(I375="Observada",I375="Rechazada"),0,G375)))</f>
        <v/>
      </c>
      <c r="L375" s="24" t="n"/>
      <c r="M375" s="25">
        <f>IF(OR(A375="",D375=""),0,IF(COUNTIFS($A$2:A375,A375,$D$2:D375,D375)=1,1,0))</f>
        <v/>
      </c>
    </row>
    <row r="376">
      <c r="A376" s="26" t="n"/>
      <c r="B376" s="27" t="n"/>
      <c r="C376" s="27" t="n"/>
      <c r="D376" s="28" t="n"/>
      <c r="E376" s="28" t="n"/>
      <c r="F376" s="29" t="n"/>
      <c r="G376" s="30" t="n"/>
      <c r="H376" s="20">
        <f>IF(A376="","",TRIM(IF(WEEKDAY(A376,2)&gt;5,"Fin de semana. ","")&amp;IF(SUMIFS($G$2:$G$601,$A$2:$A$601,A376,$D$2:$D$601,D376)&gt;9,"Más de 9 h en el día. ","")&amp;IF(AND(B376&lt;&gt;"",C376&lt;&gt;"",C376&lt;B376),"Cruza la medianoche. ","")&amp;IF(LEN(TRIM(F376))&lt;15,"Sin descripción suficiente. ","")&amp;IF(AND(ISERROR(SEARCH("R-0",F376)),ISERROR(SEARCH("CU-",F376))),"Sin ticket. ","")&amp;IF(ISNA(MATCH(E376,Datos!$E$8:$E$22,0)),"Proyecto sin valor hora. ","")&amp;IF(ISNA(MATCH(D376,Datos!$A$8:$A$22,0)),"Persona fuera del equipo. ","")))</f>
        <v/>
      </c>
      <c r="I376" s="21" t="n"/>
      <c r="J376" s="22" t="n"/>
      <c r="K376" s="23">
        <f>IF(G376="","",IF(J376&lt;&gt;"",MIN(J376,G376),IF(OR(I376="Observada",I376="Rechazada"),0,G376)))</f>
        <v/>
      </c>
      <c r="L376" s="24" t="n"/>
      <c r="M376" s="25">
        <f>IF(OR(A376="",D376=""),0,IF(COUNTIFS($A$2:A376,A376,$D$2:D376,D376)=1,1,0))</f>
        <v/>
      </c>
    </row>
    <row r="377">
      <c r="A377" s="26" t="n"/>
      <c r="B377" s="27" t="n"/>
      <c r="C377" s="27" t="n"/>
      <c r="D377" s="28" t="n"/>
      <c r="E377" s="28" t="n"/>
      <c r="F377" s="29" t="n"/>
      <c r="G377" s="30" t="n"/>
      <c r="H377" s="20">
        <f>IF(A377="","",TRIM(IF(WEEKDAY(A377,2)&gt;5,"Fin de semana. ","")&amp;IF(SUMIFS($G$2:$G$601,$A$2:$A$601,A377,$D$2:$D$601,D377)&gt;9,"Más de 9 h en el día. ","")&amp;IF(AND(B377&lt;&gt;"",C377&lt;&gt;"",C377&lt;B377),"Cruza la medianoche. ","")&amp;IF(LEN(TRIM(F377))&lt;15,"Sin descripción suficiente. ","")&amp;IF(AND(ISERROR(SEARCH("R-0",F377)),ISERROR(SEARCH("CU-",F377))),"Sin ticket. ","")&amp;IF(ISNA(MATCH(E377,Datos!$E$8:$E$22,0)),"Proyecto sin valor hora. ","")&amp;IF(ISNA(MATCH(D377,Datos!$A$8:$A$22,0)),"Persona fuera del equipo. ","")))</f>
        <v/>
      </c>
      <c r="I377" s="21" t="n"/>
      <c r="J377" s="22" t="n"/>
      <c r="K377" s="23">
        <f>IF(G377="","",IF(J377&lt;&gt;"",MIN(J377,G377),IF(OR(I377="Observada",I377="Rechazada"),0,G377)))</f>
        <v/>
      </c>
      <c r="L377" s="24" t="n"/>
      <c r="M377" s="25">
        <f>IF(OR(A377="",D377=""),0,IF(COUNTIFS($A$2:A377,A377,$D$2:D377,D377)=1,1,0))</f>
        <v/>
      </c>
    </row>
    <row r="378">
      <c r="A378" s="26" t="n"/>
      <c r="B378" s="27" t="n"/>
      <c r="C378" s="27" t="n"/>
      <c r="D378" s="28" t="n"/>
      <c r="E378" s="28" t="n"/>
      <c r="F378" s="29" t="n"/>
      <c r="G378" s="30" t="n"/>
      <c r="H378" s="20">
        <f>IF(A378="","",TRIM(IF(WEEKDAY(A378,2)&gt;5,"Fin de semana. ","")&amp;IF(SUMIFS($G$2:$G$601,$A$2:$A$601,A378,$D$2:$D$601,D378)&gt;9,"Más de 9 h en el día. ","")&amp;IF(AND(B378&lt;&gt;"",C378&lt;&gt;"",C378&lt;B378),"Cruza la medianoche. ","")&amp;IF(LEN(TRIM(F378))&lt;15,"Sin descripción suficiente. ","")&amp;IF(AND(ISERROR(SEARCH("R-0",F378)),ISERROR(SEARCH("CU-",F378))),"Sin ticket. ","")&amp;IF(ISNA(MATCH(E378,Datos!$E$8:$E$22,0)),"Proyecto sin valor hora. ","")&amp;IF(ISNA(MATCH(D378,Datos!$A$8:$A$22,0)),"Persona fuera del equipo. ","")))</f>
        <v/>
      </c>
      <c r="I378" s="21" t="n"/>
      <c r="J378" s="22" t="n"/>
      <c r="K378" s="23">
        <f>IF(G378="","",IF(J378&lt;&gt;"",MIN(J378,G378),IF(OR(I378="Observada",I378="Rechazada"),0,G378)))</f>
        <v/>
      </c>
      <c r="L378" s="24" t="n"/>
      <c r="M378" s="25">
        <f>IF(OR(A378="",D378=""),0,IF(COUNTIFS($A$2:A378,A378,$D$2:D378,D378)=1,1,0))</f>
        <v/>
      </c>
    </row>
    <row r="379">
      <c r="A379" s="26" t="n"/>
      <c r="B379" s="27" t="n"/>
      <c r="C379" s="27" t="n"/>
      <c r="D379" s="28" t="n"/>
      <c r="E379" s="28" t="n"/>
      <c r="F379" s="29" t="n"/>
      <c r="G379" s="30" t="n"/>
      <c r="H379" s="20">
        <f>IF(A379="","",TRIM(IF(WEEKDAY(A379,2)&gt;5,"Fin de semana. ","")&amp;IF(SUMIFS($G$2:$G$601,$A$2:$A$601,A379,$D$2:$D$601,D379)&gt;9,"Más de 9 h en el día. ","")&amp;IF(AND(B379&lt;&gt;"",C379&lt;&gt;"",C379&lt;B379),"Cruza la medianoche. ","")&amp;IF(LEN(TRIM(F379))&lt;15,"Sin descripción suficiente. ","")&amp;IF(AND(ISERROR(SEARCH("R-0",F379)),ISERROR(SEARCH("CU-",F379))),"Sin ticket. ","")&amp;IF(ISNA(MATCH(E379,Datos!$E$8:$E$22,0)),"Proyecto sin valor hora. ","")&amp;IF(ISNA(MATCH(D379,Datos!$A$8:$A$22,0)),"Persona fuera del equipo. ","")))</f>
        <v/>
      </c>
      <c r="I379" s="21" t="n"/>
      <c r="J379" s="22" t="n"/>
      <c r="K379" s="23">
        <f>IF(G379="","",IF(J379&lt;&gt;"",MIN(J379,G379),IF(OR(I379="Observada",I379="Rechazada"),0,G379)))</f>
        <v/>
      </c>
      <c r="L379" s="24" t="n"/>
      <c r="M379" s="25">
        <f>IF(OR(A379="",D379=""),0,IF(COUNTIFS($A$2:A379,A379,$D$2:D379,D379)=1,1,0))</f>
        <v/>
      </c>
    </row>
    <row r="380">
      <c r="A380" s="26" t="n"/>
      <c r="B380" s="27" t="n"/>
      <c r="C380" s="27" t="n"/>
      <c r="D380" s="28" t="n"/>
      <c r="E380" s="28" t="n"/>
      <c r="F380" s="29" t="n"/>
      <c r="G380" s="30" t="n"/>
      <c r="H380" s="20">
        <f>IF(A380="","",TRIM(IF(WEEKDAY(A380,2)&gt;5,"Fin de semana. ","")&amp;IF(SUMIFS($G$2:$G$601,$A$2:$A$601,A380,$D$2:$D$601,D380)&gt;9,"Más de 9 h en el día. ","")&amp;IF(AND(B380&lt;&gt;"",C380&lt;&gt;"",C380&lt;B380),"Cruza la medianoche. ","")&amp;IF(LEN(TRIM(F380))&lt;15,"Sin descripción suficiente. ","")&amp;IF(AND(ISERROR(SEARCH("R-0",F380)),ISERROR(SEARCH("CU-",F380))),"Sin ticket. ","")&amp;IF(ISNA(MATCH(E380,Datos!$E$8:$E$22,0)),"Proyecto sin valor hora. ","")&amp;IF(ISNA(MATCH(D380,Datos!$A$8:$A$22,0)),"Persona fuera del equipo. ","")))</f>
        <v/>
      </c>
      <c r="I380" s="21" t="n"/>
      <c r="J380" s="22" t="n"/>
      <c r="K380" s="23">
        <f>IF(G380="","",IF(J380&lt;&gt;"",MIN(J380,G380),IF(OR(I380="Observada",I380="Rechazada"),0,G380)))</f>
        <v/>
      </c>
      <c r="L380" s="24" t="n"/>
      <c r="M380" s="25">
        <f>IF(OR(A380="",D380=""),0,IF(COUNTIFS($A$2:A380,A380,$D$2:D380,D380)=1,1,0))</f>
        <v/>
      </c>
    </row>
    <row r="381">
      <c r="A381" s="26" t="n"/>
      <c r="B381" s="27" t="n"/>
      <c r="C381" s="27" t="n"/>
      <c r="D381" s="28" t="n"/>
      <c r="E381" s="28" t="n"/>
      <c r="F381" s="29" t="n"/>
      <c r="G381" s="30" t="n"/>
      <c r="H381" s="20">
        <f>IF(A381="","",TRIM(IF(WEEKDAY(A381,2)&gt;5,"Fin de semana. ","")&amp;IF(SUMIFS($G$2:$G$601,$A$2:$A$601,A381,$D$2:$D$601,D381)&gt;9,"Más de 9 h en el día. ","")&amp;IF(AND(B381&lt;&gt;"",C381&lt;&gt;"",C381&lt;B381),"Cruza la medianoche. ","")&amp;IF(LEN(TRIM(F381))&lt;15,"Sin descripción suficiente. ","")&amp;IF(AND(ISERROR(SEARCH("R-0",F381)),ISERROR(SEARCH("CU-",F381))),"Sin ticket. ","")&amp;IF(ISNA(MATCH(E381,Datos!$E$8:$E$22,0)),"Proyecto sin valor hora. ","")&amp;IF(ISNA(MATCH(D381,Datos!$A$8:$A$22,0)),"Persona fuera del equipo. ","")))</f>
        <v/>
      </c>
      <c r="I381" s="21" t="n"/>
      <c r="J381" s="22" t="n"/>
      <c r="K381" s="23">
        <f>IF(G381="","",IF(J381&lt;&gt;"",MIN(J381,G381),IF(OR(I381="Observada",I381="Rechazada"),0,G381)))</f>
        <v/>
      </c>
      <c r="L381" s="24" t="n"/>
      <c r="M381" s="25">
        <f>IF(OR(A381="",D381=""),0,IF(COUNTIFS($A$2:A381,A381,$D$2:D381,D381)=1,1,0))</f>
        <v/>
      </c>
    </row>
    <row r="382">
      <c r="A382" s="26" t="n"/>
      <c r="B382" s="27" t="n"/>
      <c r="C382" s="27" t="n"/>
      <c r="D382" s="28" t="n"/>
      <c r="E382" s="28" t="n"/>
      <c r="F382" s="29" t="n"/>
      <c r="G382" s="30" t="n"/>
      <c r="H382" s="20">
        <f>IF(A382="","",TRIM(IF(WEEKDAY(A382,2)&gt;5,"Fin de semana. ","")&amp;IF(SUMIFS($G$2:$G$601,$A$2:$A$601,A382,$D$2:$D$601,D382)&gt;9,"Más de 9 h en el día. ","")&amp;IF(AND(B382&lt;&gt;"",C382&lt;&gt;"",C382&lt;B382),"Cruza la medianoche. ","")&amp;IF(LEN(TRIM(F382))&lt;15,"Sin descripción suficiente. ","")&amp;IF(AND(ISERROR(SEARCH("R-0",F382)),ISERROR(SEARCH("CU-",F382))),"Sin ticket. ","")&amp;IF(ISNA(MATCH(E382,Datos!$E$8:$E$22,0)),"Proyecto sin valor hora. ","")&amp;IF(ISNA(MATCH(D382,Datos!$A$8:$A$22,0)),"Persona fuera del equipo. ","")))</f>
        <v/>
      </c>
      <c r="I382" s="21" t="n"/>
      <c r="J382" s="22" t="n"/>
      <c r="K382" s="23">
        <f>IF(G382="","",IF(J382&lt;&gt;"",MIN(J382,G382),IF(OR(I382="Observada",I382="Rechazada"),0,G382)))</f>
        <v/>
      </c>
      <c r="L382" s="24" t="n"/>
      <c r="M382" s="25">
        <f>IF(OR(A382="",D382=""),0,IF(COUNTIFS($A$2:A382,A382,$D$2:D382,D382)=1,1,0))</f>
        <v/>
      </c>
    </row>
    <row r="383">
      <c r="A383" s="26" t="n"/>
      <c r="B383" s="27" t="n"/>
      <c r="C383" s="27" t="n"/>
      <c r="D383" s="28" t="n"/>
      <c r="E383" s="28" t="n"/>
      <c r="F383" s="29" t="n"/>
      <c r="G383" s="30" t="n"/>
      <c r="H383" s="20">
        <f>IF(A383="","",TRIM(IF(WEEKDAY(A383,2)&gt;5,"Fin de semana. ","")&amp;IF(SUMIFS($G$2:$G$601,$A$2:$A$601,A383,$D$2:$D$601,D383)&gt;9,"Más de 9 h en el día. ","")&amp;IF(AND(B383&lt;&gt;"",C383&lt;&gt;"",C383&lt;B383),"Cruza la medianoche. ","")&amp;IF(LEN(TRIM(F383))&lt;15,"Sin descripción suficiente. ","")&amp;IF(AND(ISERROR(SEARCH("R-0",F383)),ISERROR(SEARCH("CU-",F383))),"Sin ticket. ","")&amp;IF(ISNA(MATCH(E383,Datos!$E$8:$E$22,0)),"Proyecto sin valor hora. ","")&amp;IF(ISNA(MATCH(D383,Datos!$A$8:$A$22,0)),"Persona fuera del equipo. ","")))</f>
        <v/>
      </c>
      <c r="I383" s="21" t="n"/>
      <c r="J383" s="22" t="n"/>
      <c r="K383" s="23">
        <f>IF(G383="","",IF(J383&lt;&gt;"",MIN(J383,G383),IF(OR(I383="Observada",I383="Rechazada"),0,G383)))</f>
        <v/>
      </c>
      <c r="L383" s="24" t="n"/>
      <c r="M383" s="25">
        <f>IF(OR(A383="",D383=""),0,IF(COUNTIFS($A$2:A383,A383,$D$2:D383,D383)=1,1,0))</f>
        <v/>
      </c>
    </row>
    <row r="384">
      <c r="A384" s="26" t="n"/>
      <c r="B384" s="27" t="n"/>
      <c r="C384" s="27" t="n"/>
      <c r="D384" s="28" t="n"/>
      <c r="E384" s="28" t="n"/>
      <c r="F384" s="29" t="n"/>
      <c r="G384" s="30" t="n"/>
      <c r="H384" s="20">
        <f>IF(A384="","",TRIM(IF(WEEKDAY(A384,2)&gt;5,"Fin de semana. ","")&amp;IF(SUMIFS($G$2:$G$601,$A$2:$A$601,A384,$D$2:$D$601,D384)&gt;9,"Más de 9 h en el día. ","")&amp;IF(AND(B384&lt;&gt;"",C384&lt;&gt;"",C384&lt;B384),"Cruza la medianoche. ","")&amp;IF(LEN(TRIM(F384))&lt;15,"Sin descripción suficiente. ","")&amp;IF(AND(ISERROR(SEARCH("R-0",F384)),ISERROR(SEARCH("CU-",F384))),"Sin ticket. ","")&amp;IF(ISNA(MATCH(E384,Datos!$E$8:$E$22,0)),"Proyecto sin valor hora. ","")&amp;IF(ISNA(MATCH(D384,Datos!$A$8:$A$22,0)),"Persona fuera del equipo. ","")))</f>
        <v/>
      </c>
      <c r="I384" s="21" t="n"/>
      <c r="J384" s="22" t="n"/>
      <c r="K384" s="23">
        <f>IF(G384="","",IF(J384&lt;&gt;"",MIN(J384,G384),IF(OR(I384="Observada",I384="Rechazada"),0,G384)))</f>
        <v/>
      </c>
      <c r="L384" s="24" t="n"/>
      <c r="M384" s="25">
        <f>IF(OR(A384="",D384=""),0,IF(COUNTIFS($A$2:A384,A384,$D$2:D384,D384)=1,1,0))</f>
        <v/>
      </c>
    </row>
    <row r="385">
      <c r="A385" s="26" t="n"/>
      <c r="B385" s="27" t="n"/>
      <c r="C385" s="27" t="n"/>
      <c r="D385" s="28" t="n"/>
      <c r="E385" s="28" t="n"/>
      <c r="F385" s="29" t="n"/>
      <c r="G385" s="30" t="n"/>
      <c r="H385" s="20">
        <f>IF(A385="","",TRIM(IF(WEEKDAY(A385,2)&gt;5,"Fin de semana. ","")&amp;IF(SUMIFS($G$2:$G$601,$A$2:$A$601,A385,$D$2:$D$601,D385)&gt;9,"Más de 9 h en el día. ","")&amp;IF(AND(B385&lt;&gt;"",C385&lt;&gt;"",C385&lt;B385),"Cruza la medianoche. ","")&amp;IF(LEN(TRIM(F385))&lt;15,"Sin descripción suficiente. ","")&amp;IF(AND(ISERROR(SEARCH("R-0",F385)),ISERROR(SEARCH("CU-",F385))),"Sin ticket. ","")&amp;IF(ISNA(MATCH(E385,Datos!$E$8:$E$22,0)),"Proyecto sin valor hora. ","")&amp;IF(ISNA(MATCH(D385,Datos!$A$8:$A$22,0)),"Persona fuera del equipo. ","")))</f>
        <v/>
      </c>
      <c r="I385" s="21" t="n"/>
      <c r="J385" s="22" t="n"/>
      <c r="K385" s="23">
        <f>IF(G385="","",IF(J385&lt;&gt;"",MIN(J385,G385),IF(OR(I385="Observada",I385="Rechazada"),0,G385)))</f>
        <v/>
      </c>
      <c r="L385" s="24" t="n"/>
      <c r="M385" s="25">
        <f>IF(OR(A385="",D385=""),0,IF(COUNTIFS($A$2:A385,A385,$D$2:D385,D385)=1,1,0))</f>
        <v/>
      </c>
    </row>
    <row r="386">
      <c r="A386" s="26" t="n"/>
      <c r="B386" s="27" t="n"/>
      <c r="C386" s="27" t="n"/>
      <c r="D386" s="28" t="n"/>
      <c r="E386" s="28" t="n"/>
      <c r="F386" s="29" t="n"/>
      <c r="G386" s="30" t="n"/>
      <c r="H386" s="20">
        <f>IF(A386="","",TRIM(IF(WEEKDAY(A386,2)&gt;5,"Fin de semana. ","")&amp;IF(SUMIFS($G$2:$G$601,$A$2:$A$601,A386,$D$2:$D$601,D386)&gt;9,"Más de 9 h en el día. ","")&amp;IF(AND(B386&lt;&gt;"",C386&lt;&gt;"",C386&lt;B386),"Cruza la medianoche. ","")&amp;IF(LEN(TRIM(F386))&lt;15,"Sin descripción suficiente. ","")&amp;IF(AND(ISERROR(SEARCH("R-0",F386)),ISERROR(SEARCH("CU-",F386))),"Sin ticket. ","")&amp;IF(ISNA(MATCH(E386,Datos!$E$8:$E$22,0)),"Proyecto sin valor hora. ","")&amp;IF(ISNA(MATCH(D386,Datos!$A$8:$A$22,0)),"Persona fuera del equipo. ","")))</f>
        <v/>
      </c>
      <c r="I386" s="21" t="n"/>
      <c r="J386" s="22" t="n"/>
      <c r="K386" s="23">
        <f>IF(G386="","",IF(J386&lt;&gt;"",MIN(J386,G386),IF(OR(I386="Observada",I386="Rechazada"),0,G386)))</f>
        <v/>
      </c>
      <c r="L386" s="24" t="n"/>
      <c r="M386" s="25">
        <f>IF(OR(A386="",D386=""),0,IF(COUNTIFS($A$2:A386,A386,$D$2:D386,D386)=1,1,0))</f>
        <v/>
      </c>
    </row>
    <row r="387">
      <c r="A387" s="26" t="n"/>
      <c r="B387" s="27" t="n"/>
      <c r="C387" s="27" t="n"/>
      <c r="D387" s="28" t="n"/>
      <c r="E387" s="28" t="n"/>
      <c r="F387" s="29" t="n"/>
      <c r="G387" s="30" t="n"/>
      <c r="H387" s="20">
        <f>IF(A387="","",TRIM(IF(WEEKDAY(A387,2)&gt;5,"Fin de semana. ","")&amp;IF(SUMIFS($G$2:$G$601,$A$2:$A$601,A387,$D$2:$D$601,D387)&gt;9,"Más de 9 h en el día. ","")&amp;IF(AND(B387&lt;&gt;"",C387&lt;&gt;"",C387&lt;B387),"Cruza la medianoche. ","")&amp;IF(LEN(TRIM(F387))&lt;15,"Sin descripción suficiente. ","")&amp;IF(AND(ISERROR(SEARCH("R-0",F387)),ISERROR(SEARCH("CU-",F387))),"Sin ticket. ","")&amp;IF(ISNA(MATCH(E387,Datos!$E$8:$E$22,0)),"Proyecto sin valor hora. ","")&amp;IF(ISNA(MATCH(D387,Datos!$A$8:$A$22,0)),"Persona fuera del equipo. ","")))</f>
        <v/>
      </c>
      <c r="I387" s="21" t="n"/>
      <c r="J387" s="22" t="n"/>
      <c r="K387" s="23">
        <f>IF(G387="","",IF(J387&lt;&gt;"",MIN(J387,G387),IF(OR(I387="Observada",I387="Rechazada"),0,G387)))</f>
        <v/>
      </c>
      <c r="L387" s="24" t="n"/>
      <c r="M387" s="25">
        <f>IF(OR(A387="",D387=""),0,IF(COUNTIFS($A$2:A387,A387,$D$2:D387,D387)=1,1,0))</f>
        <v/>
      </c>
    </row>
    <row r="388">
      <c r="A388" s="26" t="n"/>
      <c r="B388" s="27" t="n"/>
      <c r="C388" s="27" t="n"/>
      <c r="D388" s="28" t="n"/>
      <c r="E388" s="28" t="n"/>
      <c r="F388" s="29" t="n"/>
      <c r="G388" s="30" t="n"/>
      <c r="H388" s="20">
        <f>IF(A388="","",TRIM(IF(WEEKDAY(A388,2)&gt;5,"Fin de semana. ","")&amp;IF(SUMIFS($G$2:$G$601,$A$2:$A$601,A388,$D$2:$D$601,D388)&gt;9,"Más de 9 h en el día. ","")&amp;IF(AND(B388&lt;&gt;"",C388&lt;&gt;"",C388&lt;B388),"Cruza la medianoche. ","")&amp;IF(LEN(TRIM(F388))&lt;15,"Sin descripción suficiente. ","")&amp;IF(AND(ISERROR(SEARCH("R-0",F388)),ISERROR(SEARCH("CU-",F388))),"Sin ticket. ","")&amp;IF(ISNA(MATCH(E388,Datos!$E$8:$E$22,0)),"Proyecto sin valor hora. ","")&amp;IF(ISNA(MATCH(D388,Datos!$A$8:$A$22,0)),"Persona fuera del equipo. ","")))</f>
        <v/>
      </c>
      <c r="I388" s="21" t="n"/>
      <c r="J388" s="22" t="n"/>
      <c r="K388" s="23">
        <f>IF(G388="","",IF(J388&lt;&gt;"",MIN(J388,G388),IF(OR(I388="Observada",I388="Rechazada"),0,G388)))</f>
        <v/>
      </c>
      <c r="L388" s="24" t="n"/>
      <c r="M388" s="25">
        <f>IF(OR(A388="",D388=""),0,IF(COUNTIFS($A$2:A388,A388,$D$2:D388,D388)=1,1,0))</f>
        <v/>
      </c>
    </row>
    <row r="389">
      <c r="A389" s="26" t="n"/>
      <c r="B389" s="27" t="n"/>
      <c r="C389" s="27" t="n"/>
      <c r="D389" s="28" t="n"/>
      <c r="E389" s="28" t="n"/>
      <c r="F389" s="29" t="n"/>
      <c r="G389" s="30" t="n"/>
      <c r="H389" s="20">
        <f>IF(A389="","",TRIM(IF(WEEKDAY(A389,2)&gt;5,"Fin de semana. ","")&amp;IF(SUMIFS($G$2:$G$601,$A$2:$A$601,A389,$D$2:$D$601,D389)&gt;9,"Más de 9 h en el día. ","")&amp;IF(AND(B389&lt;&gt;"",C389&lt;&gt;"",C389&lt;B389),"Cruza la medianoche. ","")&amp;IF(LEN(TRIM(F389))&lt;15,"Sin descripción suficiente. ","")&amp;IF(AND(ISERROR(SEARCH("R-0",F389)),ISERROR(SEARCH("CU-",F389))),"Sin ticket. ","")&amp;IF(ISNA(MATCH(E389,Datos!$E$8:$E$22,0)),"Proyecto sin valor hora. ","")&amp;IF(ISNA(MATCH(D389,Datos!$A$8:$A$22,0)),"Persona fuera del equipo. ","")))</f>
        <v/>
      </c>
      <c r="I389" s="21" t="n"/>
      <c r="J389" s="22" t="n"/>
      <c r="K389" s="23">
        <f>IF(G389="","",IF(J389&lt;&gt;"",MIN(J389,G389),IF(OR(I389="Observada",I389="Rechazada"),0,G389)))</f>
        <v/>
      </c>
      <c r="L389" s="24" t="n"/>
      <c r="M389" s="25">
        <f>IF(OR(A389="",D389=""),0,IF(COUNTIFS($A$2:A389,A389,$D$2:D389,D389)=1,1,0))</f>
        <v/>
      </c>
    </row>
    <row r="390">
      <c r="A390" s="26" t="n"/>
      <c r="B390" s="27" t="n"/>
      <c r="C390" s="27" t="n"/>
      <c r="D390" s="28" t="n"/>
      <c r="E390" s="28" t="n"/>
      <c r="F390" s="29" t="n"/>
      <c r="G390" s="30" t="n"/>
      <c r="H390" s="20">
        <f>IF(A390="","",TRIM(IF(WEEKDAY(A390,2)&gt;5,"Fin de semana. ","")&amp;IF(SUMIFS($G$2:$G$601,$A$2:$A$601,A390,$D$2:$D$601,D390)&gt;9,"Más de 9 h en el día. ","")&amp;IF(AND(B390&lt;&gt;"",C390&lt;&gt;"",C390&lt;B390),"Cruza la medianoche. ","")&amp;IF(LEN(TRIM(F390))&lt;15,"Sin descripción suficiente. ","")&amp;IF(AND(ISERROR(SEARCH("R-0",F390)),ISERROR(SEARCH("CU-",F390))),"Sin ticket. ","")&amp;IF(ISNA(MATCH(E390,Datos!$E$8:$E$22,0)),"Proyecto sin valor hora. ","")&amp;IF(ISNA(MATCH(D390,Datos!$A$8:$A$22,0)),"Persona fuera del equipo. ","")))</f>
        <v/>
      </c>
      <c r="I390" s="21" t="n"/>
      <c r="J390" s="22" t="n"/>
      <c r="K390" s="23">
        <f>IF(G390="","",IF(J390&lt;&gt;"",MIN(J390,G390),IF(OR(I390="Observada",I390="Rechazada"),0,G390)))</f>
        <v/>
      </c>
      <c r="L390" s="24" t="n"/>
      <c r="M390" s="25">
        <f>IF(OR(A390="",D390=""),0,IF(COUNTIFS($A$2:A390,A390,$D$2:D390,D390)=1,1,0))</f>
        <v/>
      </c>
    </row>
    <row r="391">
      <c r="A391" s="26" t="n"/>
      <c r="B391" s="27" t="n"/>
      <c r="C391" s="27" t="n"/>
      <c r="D391" s="28" t="n"/>
      <c r="E391" s="28" t="n"/>
      <c r="F391" s="29" t="n"/>
      <c r="G391" s="30" t="n"/>
      <c r="H391" s="20">
        <f>IF(A391="","",TRIM(IF(WEEKDAY(A391,2)&gt;5,"Fin de semana. ","")&amp;IF(SUMIFS($G$2:$G$601,$A$2:$A$601,A391,$D$2:$D$601,D391)&gt;9,"Más de 9 h en el día. ","")&amp;IF(AND(B391&lt;&gt;"",C391&lt;&gt;"",C391&lt;B391),"Cruza la medianoche. ","")&amp;IF(LEN(TRIM(F391))&lt;15,"Sin descripción suficiente. ","")&amp;IF(AND(ISERROR(SEARCH("R-0",F391)),ISERROR(SEARCH("CU-",F391))),"Sin ticket. ","")&amp;IF(ISNA(MATCH(E391,Datos!$E$8:$E$22,0)),"Proyecto sin valor hora. ","")&amp;IF(ISNA(MATCH(D391,Datos!$A$8:$A$22,0)),"Persona fuera del equipo. ","")))</f>
        <v/>
      </c>
      <c r="I391" s="21" t="n"/>
      <c r="J391" s="22" t="n"/>
      <c r="K391" s="23">
        <f>IF(G391="","",IF(J391&lt;&gt;"",MIN(J391,G391),IF(OR(I391="Observada",I391="Rechazada"),0,G391)))</f>
        <v/>
      </c>
      <c r="L391" s="24" t="n"/>
      <c r="M391" s="25">
        <f>IF(OR(A391="",D391=""),0,IF(COUNTIFS($A$2:A391,A391,$D$2:D391,D391)=1,1,0))</f>
        <v/>
      </c>
    </row>
    <row r="392">
      <c r="A392" s="26" t="n"/>
      <c r="B392" s="27" t="n"/>
      <c r="C392" s="27" t="n"/>
      <c r="D392" s="28" t="n"/>
      <c r="E392" s="28" t="n"/>
      <c r="F392" s="29" t="n"/>
      <c r="G392" s="30" t="n"/>
      <c r="H392" s="20">
        <f>IF(A392="","",TRIM(IF(WEEKDAY(A392,2)&gt;5,"Fin de semana. ","")&amp;IF(SUMIFS($G$2:$G$601,$A$2:$A$601,A392,$D$2:$D$601,D392)&gt;9,"Más de 9 h en el día. ","")&amp;IF(AND(B392&lt;&gt;"",C392&lt;&gt;"",C392&lt;B392),"Cruza la medianoche. ","")&amp;IF(LEN(TRIM(F392))&lt;15,"Sin descripción suficiente. ","")&amp;IF(AND(ISERROR(SEARCH("R-0",F392)),ISERROR(SEARCH("CU-",F392))),"Sin ticket. ","")&amp;IF(ISNA(MATCH(E392,Datos!$E$8:$E$22,0)),"Proyecto sin valor hora. ","")&amp;IF(ISNA(MATCH(D392,Datos!$A$8:$A$22,0)),"Persona fuera del equipo. ","")))</f>
        <v/>
      </c>
      <c r="I392" s="21" t="n"/>
      <c r="J392" s="22" t="n"/>
      <c r="K392" s="23">
        <f>IF(G392="","",IF(J392&lt;&gt;"",MIN(J392,G392),IF(OR(I392="Observada",I392="Rechazada"),0,G392)))</f>
        <v/>
      </c>
      <c r="L392" s="24" t="n"/>
      <c r="M392" s="25">
        <f>IF(OR(A392="",D392=""),0,IF(COUNTIFS($A$2:A392,A392,$D$2:D392,D392)=1,1,0))</f>
        <v/>
      </c>
    </row>
    <row r="393">
      <c r="A393" s="26" t="n"/>
      <c r="B393" s="27" t="n"/>
      <c r="C393" s="27" t="n"/>
      <c r="D393" s="28" t="n"/>
      <c r="E393" s="28" t="n"/>
      <c r="F393" s="29" t="n"/>
      <c r="G393" s="30" t="n"/>
      <c r="H393" s="20">
        <f>IF(A393="","",TRIM(IF(WEEKDAY(A393,2)&gt;5,"Fin de semana. ","")&amp;IF(SUMIFS($G$2:$G$601,$A$2:$A$601,A393,$D$2:$D$601,D393)&gt;9,"Más de 9 h en el día. ","")&amp;IF(AND(B393&lt;&gt;"",C393&lt;&gt;"",C393&lt;B393),"Cruza la medianoche. ","")&amp;IF(LEN(TRIM(F393))&lt;15,"Sin descripción suficiente. ","")&amp;IF(AND(ISERROR(SEARCH("R-0",F393)),ISERROR(SEARCH("CU-",F393))),"Sin ticket. ","")&amp;IF(ISNA(MATCH(E393,Datos!$E$8:$E$22,0)),"Proyecto sin valor hora. ","")&amp;IF(ISNA(MATCH(D393,Datos!$A$8:$A$22,0)),"Persona fuera del equipo. ","")))</f>
        <v/>
      </c>
      <c r="I393" s="21" t="n"/>
      <c r="J393" s="22" t="n"/>
      <c r="K393" s="23">
        <f>IF(G393="","",IF(J393&lt;&gt;"",MIN(J393,G393),IF(OR(I393="Observada",I393="Rechazada"),0,G393)))</f>
        <v/>
      </c>
      <c r="L393" s="24" t="n"/>
      <c r="M393" s="25">
        <f>IF(OR(A393="",D393=""),0,IF(COUNTIFS($A$2:A393,A393,$D$2:D393,D393)=1,1,0))</f>
        <v/>
      </c>
    </row>
    <row r="394">
      <c r="A394" s="26" t="n"/>
      <c r="B394" s="27" t="n"/>
      <c r="C394" s="27" t="n"/>
      <c r="D394" s="28" t="n"/>
      <c r="E394" s="28" t="n"/>
      <c r="F394" s="29" t="n"/>
      <c r="G394" s="30" t="n"/>
      <c r="H394" s="20">
        <f>IF(A394="","",TRIM(IF(WEEKDAY(A394,2)&gt;5,"Fin de semana. ","")&amp;IF(SUMIFS($G$2:$G$601,$A$2:$A$601,A394,$D$2:$D$601,D394)&gt;9,"Más de 9 h en el día. ","")&amp;IF(AND(B394&lt;&gt;"",C394&lt;&gt;"",C394&lt;B394),"Cruza la medianoche. ","")&amp;IF(LEN(TRIM(F394))&lt;15,"Sin descripción suficiente. ","")&amp;IF(AND(ISERROR(SEARCH("R-0",F394)),ISERROR(SEARCH("CU-",F394))),"Sin ticket. ","")&amp;IF(ISNA(MATCH(E394,Datos!$E$8:$E$22,0)),"Proyecto sin valor hora. ","")&amp;IF(ISNA(MATCH(D394,Datos!$A$8:$A$22,0)),"Persona fuera del equipo. ","")))</f>
        <v/>
      </c>
      <c r="I394" s="21" t="n"/>
      <c r="J394" s="22" t="n"/>
      <c r="K394" s="23">
        <f>IF(G394="","",IF(J394&lt;&gt;"",MIN(J394,G394),IF(OR(I394="Observada",I394="Rechazada"),0,G394)))</f>
        <v/>
      </c>
      <c r="L394" s="24" t="n"/>
      <c r="M394" s="25">
        <f>IF(OR(A394="",D394=""),0,IF(COUNTIFS($A$2:A394,A394,$D$2:D394,D394)=1,1,0))</f>
        <v/>
      </c>
    </row>
    <row r="395">
      <c r="A395" s="26" t="n"/>
      <c r="B395" s="27" t="n"/>
      <c r="C395" s="27" t="n"/>
      <c r="D395" s="28" t="n"/>
      <c r="E395" s="28" t="n"/>
      <c r="F395" s="29" t="n"/>
      <c r="G395" s="30" t="n"/>
      <c r="H395" s="20">
        <f>IF(A395="","",TRIM(IF(WEEKDAY(A395,2)&gt;5,"Fin de semana. ","")&amp;IF(SUMIFS($G$2:$G$601,$A$2:$A$601,A395,$D$2:$D$601,D395)&gt;9,"Más de 9 h en el día. ","")&amp;IF(AND(B395&lt;&gt;"",C395&lt;&gt;"",C395&lt;B395),"Cruza la medianoche. ","")&amp;IF(LEN(TRIM(F395))&lt;15,"Sin descripción suficiente. ","")&amp;IF(AND(ISERROR(SEARCH("R-0",F395)),ISERROR(SEARCH("CU-",F395))),"Sin ticket. ","")&amp;IF(ISNA(MATCH(E395,Datos!$E$8:$E$22,0)),"Proyecto sin valor hora. ","")&amp;IF(ISNA(MATCH(D395,Datos!$A$8:$A$22,0)),"Persona fuera del equipo. ","")))</f>
        <v/>
      </c>
      <c r="I395" s="21" t="n"/>
      <c r="J395" s="22" t="n"/>
      <c r="K395" s="23">
        <f>IF(G395="","",IF(J395&lt;&gt;"",MIN(J395,G395),IF(OR(I395="Observada",I395="Rechazada"),0,G395)))</f>
        <v/>
      </c>
      <c r="L395" s="24" t="n"/>
      <c r="M395" s="25">
        <f>IF(OR(A395="",D395=""),0,IF(COUNTIFS($A$2:A395,A395,$D$2:D395,D395)=1,1,0))</f>
        <v/>
      </c>
    </row>
    <row r="396">
      <c r="A396" s="26" t="n"/>
      <c r="B396" s="27" t="n"/>
      <c r="C396" s="27" t="n"/>
      <c r="D396" s="28" t="n"/>
      <c r="E396" s="28" t="n"/>
      <c r="F396" s="29" t="n"/>
      <c r="G396" s="30" t="n"/>
      <c r="H396" s="20">
        <f>IF(A396="","",TRIM(IF(WEEKDAY(A396,2)&gt;5,"Fin de semana. ","")&amp;IF(SUMIFS($G$2:$G$601,$A$2:$A$601,A396,$D$2:$D$601,D396)&gt;9,"Más de 9 h en el día. ","")&amp;IF(AND(B396&lt;&gt;"",C396&lt;&gt;"",C396&lt;B396),"Cruza la medianoche. ","")&amp;IF(LEN(TRIM(F396))&lt;15,"Sin descripción suficiente. ","")&amp;IF(AND(ISERROR(SEARCH("R-0",F396)),ISERROR(SEARCH("CU-",F396))),"Sin ticket. ","")&amp;IF(ISNA(MATCH(E396,Datos!$E$8:$E$22,0)),"Proyecto sin valor hora. ","")&amp;IF(ISNA(MATCH(D396,Datos!$A$8:$A$22,0)),"Persona fuera del equipo. ","")))</f>
        <v/>
      </c>
      <c r="I396" s="21" t="n"/>
      <c r="J396" s="22" t="n"/>
      <c r="K396" s="23">
        <f>IF(G396="","",IF(J396&lt;&gt;"",MIN(J396,G396),IF(OR(I396="Observada",I396="Rechazada"),0,G396)))</f>
        <v/>
      </c>
      <c r="L396" s="24" t="n"/>
      <c r="M396" s="25">
        <f>IF(OR(A396="",D396=""),0,IF(COUNTIFS($A$2:A396,A396,$D$2:D396,D396)=1,1,0))</f>
        <v/>
      </c>
    </row>
    <row r="397">
      <c r="A397" s="26" t="n"/>
      <c r="B397" s="27" t="n"/>
      <c r="C397" s="27" t="n"/>
      <c r="D397" s="28" t="n"/>
      <c r="E397" s="28" t="n"/>
      <c r="F397" s="29" t="n"/>
      <c r="G397" s="30" t="n"/>
      <c r="H397" s="20">
        <f>IF(A397="","",TRIM(IF(WEEKDAY(A397,2)&gt;5,"Fin de semana. ","")&amp;IF(SUMIFS($G$2:$G$601,$A$2:$A$601,A397,$D$2:$D$601,D397)&gt;9,"Más de 9 h en el día. ","")&amp;IF(AND(B397&lt;&gt;"",C397&lt;&gt;"",C397&lt;B397),"Cruza la medianoche. ","")&amp;IF(LEN(TRIM(F397))&lt;15,"Sin descripción suficiente. ","")&amp;IF(AND(ISERROR(SEARCH("R-0",F397)),ISERROR(SEARCH("CU-",F397))),"Sin ticket. ","")&amp;IF(ISNA(MATCH(E397,Datos!$E$8:$E$22,0)),"Proyecto sin valor hora. ","")&amp;IF(ISNA(MATCH(D397,Datos!$A$8:$A$22,0)),"Persona fuera del equipo. ","")))</f>
        <v/>
      </c>
      <c r="I397" s="21" t="n"/>
      <c r="J397" s="22" t="n"/>
      <c r="K397" s="23">
        <f>IF(G397="","",IF(J397&lt;&gt;"",MIN(J397,G397),IF(OR(I397="Observada",I397="Rechazada"),0,G397)))</f>
        <v/>
      </c>
      <c r="L397" s="24" t="n"/>
      <c r="M397" s="25">
        <f>IF(OR(A397="",D397=""),0,IF(COUNTIFS($A$2:A397,A397,$D$2:D397,D397)=1,1,0))</f>
        <v/>
      </c>
    </row>
    <row r="398">
      <c r="A398" s="26" t="n"/>
      <c r="B398" s="27" t="n"/>
      <c r="C398" s="27" t="n"/>
      <c r="D398" s="28" t="n"/>
      <c r="E398" s="28" t="n"/>
      <c r="F398" s="29" t="n"/>
      <c r="G398" s="30" t="n"/>
      <c r="H398" s="20">
        <f>IF(A398="","",TRIM(IF(WEEKDAY(A398,2)&gt;5,"Fin de semana. ","")&amp;IF(SUMIFS($G$2:$G$601,$A$2:$A$601,A398,$D$2:$D$601,D398)&gt;9,"Más de 9 h en el día. ","")&amp;IF(AND(B398&lt;&gt;"",C398&lt;&gt;"",C398&lt;B398),"Cruza la medianoche. ","")&amp;IF(LEN(TRIM(F398))&lt;15,"Sin descripción suficiente. ","")&amp;IF(AND(ISERROR(SEARCH("R-0",F398)),ISERROR(SEARCH("CU-",F398))),"Sin ticket. ","")&amp;IF(ISNA(MATCH(E398,Datos!$E$8:$E$22,0)),"Proyecto sin valor hora. ","")&amp;IF(ISNA(MATCH(D398,Datos!$A$8:$A$22,0)),"Persona fuera del equipo. ","")))</f>
        <v/>
      </c>
      <c r="I398" s="21" t="n"/>
      <c r="J398" s="22" t="n"/>
      <c r="K398" s="23">
        <f>IF(G398="","",IF(J398&lt;&gt;"",MIN(J398,G398),IF(OR(I398="Observada",I398="Rechazada"),0,G398)))</f>
        <v/>
      </c>
      <c r="L398" s="24" t="n"/>
      <c r="M398" s="25">
        <f>IF(OR(A398="",D398=""),0,IF(COUNTIFS($A$2:A398,A398,$D$2:D398,D398)=1,1,0))</f>
        <v/>
      </c>
    </row>
    <row r="399">
      <c r="A399" s="26" t="n"/>
      <c r="B399" s="27" t="n"/>
      <c r="C399" s="27" t="n"/>
      <c r="D399" s="28" t="n"/>
      <c r="E399" s="28" t="n"/>
      <c r="F399" s="29" t="n"/>
      <c r="G399" s="30" t="n"/>
      <c r="H399" s="20">
        <f>IF(A399="","",TRIM(IF(WEEKDAY(A399,2)&gt;5,"Fin de semana. ","")&amp;IF(SUMIFS($G$2:$G$601,$A$2:$A$601,A399,$D$2:$D$601,D399)&gt;9,"Más de 9 h en el día. ","")&amp;IF(AND(B399&lt;&gt;"",C399&lt;&gt;"",C399&lt;B399),"Cruza la medianoche. ","")&amp;IF(LEN(TRIM(F399))&lt;15,"Sin descripción suficiente. ","")&amp;IF(AND(ISERROR(SEARCH("R-0",F399)),ISERROR(SEARCH("CU-",F399))),"Sin ticket. ","")&amp;IF(ISNA(MATCH(E399,Datos!$E$8:$E$22,0)),"Proyecto sin valor hora. ","")&amp;IF(ISNA(MATCH(D399,Datos!$A$8:$A$22,0)),"Persona fuera del equipo. ","")))</f>
        <v/>
      </c>
      <c r="I399" s="21" t="n"/>
      <c r="J399" s="22" t="n"/>
      <c r="K399" s="23">
        <f>IF(G399="","",IF(J399&lt;&gt;"",MIN(J399,G399),IF(OR(I399="Observada",I399="Rechazada"),0,G399)))</f>
        <v/>
      </c>
      <c r="L399" s="24" t="n"/>
      <c r="M399" s="25">
        <f>IF(OR(A399="",D399=""),0,IF(COUNTIFS($A$2:A399,A399,$D$2:D399,D399)=1,1,0))</f>
        <v/>
      </c>
    </row>
    <row r="400">
      <c r="A400" s="26" t="n"/>
      <c r="B400" s="27" t="n"/>
      <c r="C400" s="27" t="n"/>
      <c r="D400" s="28" t="n"/>
      <c r="E400" s="28" t="n"/>
      <c r="F400" s="29" t="n"/>
      <c r="G400" s="30" t="n"/>
      <c r="H400" s="20">
        <f>IF(A400="","",TRIM(IF(WEEKDAY(A400,2)&gt;5,"Fin de semana. ","")&amp;IF(SUMIFS($G$2:$G$601,$A$2:$A$601,A400,$D$2:$D$601,D400)&gt;9,"Más de 9 h en el día. ","")&amp;IF(AND(B400&lt;&gt;"",C400&lt;&gt;"",C400&lt;B400),"Cruza la medianoche. ","")&amp;IF(LEN(TRIM(F400))&lt;15,"Sin descripción suficiente. ","")&amp;IF(AND(ISERROR(SEARCH("R-0",F400)),ISERROR(SEARCH("CU-",F400))),"Sin ticket. ","")&amp;IF(ISNA(MATCH(E400,Datos!$E$8:$E$22,0)),"Proyecto sin valor hora. ","")&amp;IF(ISNA(MATCH(D400,Datos!$A$8:$A$22,0)),"Persona fuera del equipo. ","")))</f>
        <v/>
      </c>
      <c r="I400" s="21" t="n"/>
      <c r="J400" s="22" t="n"/>
      <c r="K400" s="23">
        <f>IF(G400="","",IF(J400&lt;&gt;"",MIN(J400,G400),IF(OR(I400="Observada",I400="Rechazada"),0,G400)))</f>
        <v/>
      </c>
      <c r="L400" s="24" t="n"/>
      <c r="M400" s="25">
        <f>IF(OR(A400="",D400=""),0,IF(COUNTIFS($A$2:A400,A400,$D$2:D400,D400)=1,1,0))</f>
        <v/>
      </c>
    </row>
    <row r="401">
      <c r="A401" s="26" t="n"/>
      <c r="B401" s="27" t="n"/>
      <c r="C401" s="27" t="n"/>
      <c r="D401" s="28" t="n"/>
      <c r="E401" s="28" t="n"/>
      <c r="F401" s="29" t="n"/>
      <c r="G401" s="30" t="n"/>
      <c r="H401" s="20">
        <f>IF(A401="","",TRIM(IF(WEEKDAY(A401,2)&gt;5,"Fin de semana. ","")&amp;IF(SUMIFS($G$2:$G$601,$A$2:$A$601,A401,$D$2:$D$601,D401)&gt;9,"Más de 9 h en el día. ","")&amp;IF(AND(B401&lt;&gt;"",C401&lt;&gt;"",C401&lt;B401),"Cruza la medianoche. ","")&amp;IF(LEN(TRIM(F401))&lt;15,"Sin descripción suficiente. ","")&amp;IF(AND(ISERROR(SEARCH("R-0",F401)),ISERROR(SEARCH("CU-",F401))),"Sin ticket. ","")&amp;IF(ISNA(MATCH(E401,Datos!$E$8:$E$22,0)),"Proyecto sin valor hora. ","")&amp;IF(ISNA(MATCH(D401,Datos!$A$8:$A$22,0)),"Persona fuera del equipo. ","")))</f>
        <v/>
      </c>
      <c r="I401" s="21" t="n"/>
      <c r="J401" s="22" t="n"/>
      <c r="K401" s="23">
        <f>IF(G401="","",IF(J401&lt;&gt;"",MIN(J401,G401),IF(OR(I401="Observada",I401="Rechazada"),0,G401)))</f>
        <v/>
      </c>
      <c r="L401" s="24" t="n"/>
      <c r="M401" s="25">
        <f>IF(OR(A401="",D401=""),0,IF(COUNTIFS($A$2:A401,A401,$D$2:D401,D401)=1,1,0))</f>
        <v/>
      </c>
    </row>
    <row r="402">
      <c r="A402" s="26" t="n"/>
      <c r="B402" s="27" t="n"/>
      <c r="C402" s="27" t="n"/>
      <c r="D402" s="28" t="n"/>
      <c r="E402" s="28" t="n"/>
      <c r="F402" s="29" t="n"/>
      <c r="G402" s="30" t="n"/>
      <c r="H402" s="20">
        <f>IF(A402="","",TRIM(IF(WEEKDAY(A402,2)&gt;5,"Fin de semana. ","")&amp;IF(SUMIFS($G$2:$G$601,$A$2:$A$601,A402,$D$2:$D$601,D402)&gt;9,"Más de 9 h en el día. ","")&amp;IF(AND(B402&lt;&gt;"",C402&lt;&gt;"",C402&lt;B402),"Cruza la medianoche. ","")&amp;IF(LEN(TRIM(F402))&lt;15,"Sin descripción suficiente. ","")&amp;IF(AND(ISERROR(SEARCH("R-0",F402)),ISERROR(SEARCH("CU-",F402))),"Sin ticket. ","")&amp;IF(ISNA(MATCH(E402,Datos!$E$8:$E$22,0)),"Proyecto sin valor hora. ","")&amp;IF(ISNA(MATCH(D402,Datos!$A$8:$A$22,0)),"Persona fuera del equipo. ","")))</f>
        <v/>
      </c>
      <c r="I402" s="21" t="n"/>
      <c r="J402" s="22" t="n"/>
      <c r="K402" s="23">
        <f>IF(G402="","",IF(J402&lt;&gt;"",MIN(J402,G402),IF(OR(I402="Observada",I402="Rechazada"),0,G402)))</f>
        <v/>
      </c>
      <c r="L402" s="24" t="n"/>
      <c r="M402" s="25">
        <f>IF(OR(A402="",D402=""),0,IF(COUNTIFS($A$2:A402,A402,$D$2:D402,D402)=1,1,0))</f>
        <v/>
      </c>
    </row>
    <row r="403">
      <c r="A403" s="26" t="n"/>
      <c r="B403" s="27" t="n"/>
      <c r="C403" s="27" t="n"/>
      <c r="D403" s="28" t="n"/>
      <c r="E403" s="28" t="n"/>
      <c r="F403" s="29" t="n"/>
      <c r="G403" s="30" t="n"/>
      <c r="H403" s="20">
        <f>IF(A403="","",TRIM(IF(WEEKDAY(A403,2)&gt;5,"Fin de semana. ","")&amp;IF(SUMIFS($G$2:$G$601,$A$2:$A$601,A403,$D$2:$D$601,D403)&gt;9,"Más de 9 h en el día. ","")&amp;IF(AND(B403&lt;&gt;"",C403&lt;&gt;"",C403&lt;B403),"Cruza la medianoche. ","")&amp;IF(LEN(TRIM(F403))&lt;15,"Sin descripción suficiente. ","")&amp;IF(AND(ISERROR(SEARCH("R-0",F403)),ISERROR(SEARCH("CU-",F403))),"Sin ticket. ","")&amp;IF(ISNA(MATCH(E403,Datos!$E$8:$E$22,0)),"Proyecto sin valor hora. ","")&amp;IF(ISNA(MATCH(D403,Datos!$A$8:$A$22,0)),"Persona fuera del equipo. ","")))</f>
        <v/>
      </c>
      <c r="I403" s="21" t="n"/>
      <c r="J403" s="22" t="n"/>
      <c r="K403" s="23">
        <f>IF(G403="","",IF(J403&lt;&gt;"",MIN(J403,G403),IF(OR(I403="Observada",I403="Rechazada"),0,G403)))</f>
        <v/>
      </c>
      <c r="L403" s="24" t="n"/>
      <c r="M403" s="25">
        <f>IF(OR(A403="",D403=""),0,IF(COUNTIFS($A$2:A403,A403,$D$2:D403,D403)=1,1,0))</f>
        <v/>
      </c>
    </row>
    <row r="404">
      <c r="A404" s="26" t="n"/>
      <c r="B404" s="27" t="n"/>
      <c r="C404" s="27" t="n"/>
      <c r="D404" s="28" t="n"/>
      <c r="E404" s="28" t="n"/>
      <c r="F404" s="29" t="n"/>
      <c r="G404" s="30" t="n"/>
      <c r="H404" s="20">
        <f>IF(A404="","",TRIM(IF(WEEKDAY(A404,2)&gt;5,"Fin de semana. ","")&amp;IF(SUMIFS($G$2:$G$601,$A$2:$A$601,A404,$D$2:$D$601,D404)&gt;9,"Más de 9 h en el día. ","")&amp;IF(AND(B404&lt;&gt;"",C404&lt;&gt;"",C404&lt;B404),"Cruza la medianoche. ","")&amp;IF(LEN(TRIM(F404))&lt;15,"Sin descripción suficiente. ","")&amp;IF(AND(ISERROR(SEARCH("R-0",F404)),ISERROR(SEARCH("CU-",F404))),"Sin ticket. ","")&amp;IF(ISNA(MATCH(E404,Datos!$E$8:$E$22,0)),"Proyecto sin valor hora. ","")&amp;IF(ISNA(MATCH(D404,Datos!$A$8:$A$22,0)),"Persona fuera del equipo. ","")))</f>
        <v/>
      </c>
      <c r="I404" s="21" t="n"/>
      <c r="J404" s="22" t="n"/>
      <c r="K404" s="23">
        <f>IF(G404="","",IF(J404&lt;&gt;"",MIN(J404,G404),IF(OR(I404="Observada",I404="Rechazada"),0,G404)))</f>
        <v/>
      </c>
      <c r="L404" s="24" t="n"/>
      <c r="M404" s="25">
        <f>IF(OR(A404="",D404=""),0,IF(COUNTIFS($A$2:A404,A404,$D$2:D404,D404)=1,1,0))</f>
        <v/>
      </c>
    </row>
    <row r="405">
      <c r="A405" s="26" t="n"/>
      <c r="B405" s="27" t="n"/>
      <c r="C405" s="27" t="n"/>
      <c r="D405" s="28" t="n"/>
      <c r="E405" s="28" t="n"/>
      <c r="F405" s="29" t="n"/>
      <c r="G405" s="30" t="n"/>
      <c r="H405" s="20">
        <f>IF(A405="","",TRIM(IF(WEEKDAY(A405,2)&gt;5,"Fin de semana. ","")&amp;IF(SUMIFS($G$2:$G$601,$A$2:$A$601,A405,$D$2:$D$601,D405)&gt;9,"Más de 9 h en el día. ","")&amp;IF(AND(B405&lt;&gt;"",C405&lt;&gt;"",C405&lt;B405),"Cruza la medianoche. ","")&amp;IF(LEN(TRIM(F405))&lt;15,"Sin descripción suficiente. ","")&amp;IF(AND(ISERROR(SEARCH("R-0",F405)),ISERROR(SEARCH("CU-",F405))),"Sin ticket. ","")&amp;IF(ISNA(MATCH(E405,Datos!$E$8:$E$22,0)),"Proyecto sin valor hora. ","")&amp;IF(ISNA(MATCH(D405,Datos!$A$8:$A$22,0)),"Persona fuera del equipo. ","")))</f>
        <v/>
      </c>
      <c r="I405" s="21" t="n"/>
      <c r="J405" s="22" t="n"/>
      <c r="K405" s="23">
        <f>IF(G405="","",IF(J405&lt;&gt;"",MIN(J405,G405),IF(OR(I405="Observada",I405="Rechazada"),0,G405)))</f>
        <v/>
      </c>
      <c r="L405" s="24" t="n"/>
      <c r="M405" s="25">
        <f>IF(OR(A405="",D405=""),0,IF(COUNTIFS($A$2:A405,A405,$D$2:D405,D405)=1,1,0))</f>
        <v/>
      </c>
    </row>
    <row r="406">
      <c r="A406" s="26" t="n"/>
      <c r="B406" s="27" t="n"/>
      <c r="C406" s="27" t="n"/>
      <c r="D406" s="28" t="n"/>
      <c r="E406" s="28" t="n"/>
      <c r="F406" s="29" t="n"/>
      <c r="G406" s="30" t="n"/>
      <c r="H406" s="20">
        <f>IF(A406="","",TRIM(IF(WEEKDAY(A406,2)&gt;5,"Fin de semana. ","")&amp;IF(SUMIFS($G$2:$G$601,$A$2:$A$601,A406,$D$2:$D$601,D406)&gt;9,"Más de 9 h en el día. ","")&amp;IF(AND(B406&lt;&gt;"",C406&lt;&gt;"",C406&lt;B406),"Cruza la medianoche. ","")&amp;IF(LEN(TRIM(F406))&lt;15,"Sin descripción suficiente. ","")&amp;IF(AND(ISERROR(SEARCH("R-0",F406)),ISERROR(SEARCH("CU-",F406))),"Sin ticket. ","")&amp;IF(ISNA(MATCH(E406,Datos!$E$8:$E$22,0)),"Proyecto sin valor hora. ","")&amp;IF(ISNA(MATCH(D406,Datos!$A$8:$A$22,0)),"Persona fuera del equipo. ","")))</f>
        <v/>
      </c>
      <c r="I406" s="21" t="n"/>
      <c r="J406" s="22" t="n"/>
      <c r="K406" s="23">
        <f>IF(G406="","",IF(J406&lt;&gt;"",MIN(J406,G406),IF(OR(I406="Observada",I406="Rechazada"),0,G406)))</f>
        <v/>
      </c>
      <c r="L406" s="24" t="n"/>
      <c r="M406" s="25">
        <f>IF(OR(A406="",D406=""),0,IF(COUNTIFS($A$2:A406,A406,$D$2:D406,D406)=1,1,0))</f>
        <v/>
      </c>
    </row>
    <row r="407">
      <c r="A407" s="26" t="n"/>
      <c r="B407" s="27" t="n"/>
      <c r="C407" s="27" t="n"/>
      <c r="D407" s="28" t="n"/>
      <c r="E407" s="28" t="n"/>
      <c r="F407" s="29" t="n"/>
      <c r="G407" s="30" t="n"/>
      <c r="H407" s="20">
        <f>IF(A407="","",TRIM(IF(WEEKDAY(A407,2)&gt;5,"Fin de semana. ","")&amp;IF(SUMIFS($G$2:$G$601,$A$2:$A$601,A407,$D$2:$D$601,D407)&gt;9,"Más de 9 h en el día. ","")&amp;IF(AND(B407&lt;&gt;"",C407&lt;&gt;"",C407&lt;B407),"Cruza la medianoche. ","")&amp;IF(LEN(TRIM(F407))&lt;15,"Sin descripción suficiente. ","")&amp;IF(AND(ISERROR(SEARCH("R-0",F407)),ISERROR(SEARCH("CU-",F407))),"Sin ticket. ","")&amp;IF(ISNA(MATCH(E407,Datos!$E$8:$E$22,0)),"Proyecto sin valor hora. ","")&amp;IF(ISNA(MATCH(D407,Datos!$A$8:$A$22,0)),"Persona fuera del equipo. ","")))</f>
        <v/>
      </c>
      <c r="I407" s="21" t="n"/>
      <c r="J407" s="22" t="n"/>
      <c r="K407" s="23">
        <f>IF(G407="","",IF(J407&lt;&gt;"",MIN(J407,G407),IF(OR(I407="Observada",I407="Rechazada"),0,G407)))</f>
        <v/>
      </c>
      <c r="L407" s="24" t="n"/>
      <c r="M407" s="25">
        <f>IF(OR(A407="",D407=""),0,IF(COUNTIFS($A$2:A407,A407,$D$2:D407,D407)=1,1,0))</f>
        <v/>
      </c>
    </row>
    <row r="408">
      <c r="A408" s="26" t="n"/>
      <c r="B408" s="27" t="n"/>
      <c r="C408" s="27" t="n"/>
      <c r="D408" s="28" t="n"/>
      <c r="E408" s="28" t="n"/>
      <c r="F408" s="29" t="n"/>
      <c r="G408" s="30" t="n"/>
      <c r="H408" s="20">
        <f>IF(A408="","",TRIM(IF(WEEKDAY(A408,2)&gt;5,"Fin de semana. ","")&amp;IF(SUMIFS($G$2:$G$601,$A$2:$A$601,A408,$D$2:$D$601,D408)&gt;9,"Más de 9 h en el día. ","")&amp;IF(AND(B408&lt;&gt;"",C408&lt;&gt;"",C408&lt;B408),"Cruza la medianoche. ","")&amp;IF(LEN(TRIM(F408))&lt;15,"Sin descripción suficiente. ","")&amp;IF(AND(ISERROR(SEARCH("R-0",F408)),ISERROR(SEARCH("CU-",F408))),"Sin ticket. ","")&amp;IF(ISNA(MATCH(E408,Datos!$E$8:$E$22,0)),"Proyecto sin valor hora. ","")&amp;IF(ISNA(MATCH(D408,Datos!$A$8:$A$22,0)),"Persona fuera del equipo. ","")))</f>
        <v/>
      </c>
      <c r="I408" s="21" t="n"/>
      <c r="J408" s="22" t="n"/>
      <c r="K408" s="23">
        <f>IF(G408="","",IF(J408&lt;&gt;"",MIN(J408,G408),IF(OR(I408="Observada",I408="Rechazada"),0,G408)))</f>
        <v/>
      </c>
      <c r="L408" s="24" t="n"/>
      <c r="M408" s="25">
        <f>IF(OR(A408="",D408=""),0,IF(COUNTIFS($A$2:A408,A408,$D$2:D408,D408)=1,1,0))</f>
        <v/>
      </c>
    </row>
    <row r="409">
      <c r="A409" s="26" t="n"/>
      <c r="B409" s="27" t="n"/>
      <c r="C409" s="27" t="n"/>
      <c r="D409" s="28" t="n"/>
      <c r="E409" s="28" t="n"/>
      <c r="F409" s="29" t="n"/>
      <c r="G409" s="30" t="n"/>
      <c r="H409" s="20">
        <f>IF(A409="","",TRIM(IF(WEEKDAY(A409,2)&gt;5,"Fin de semana. ","")&amp;IF(SUMIFS($G$2:$G$601,$A$2:$A$601,A409,$D$2:$D$601,D409)&gt;9,"Más de 9 h en el día. ","")&amp;IF(AND(B409&lt;&gt;"",C409&lt;&gt;"",C409&lt;B409),"Cruza la medianoche. ","")&amp;IF(LEN(TRIM(F409))&lt;15,"Sin descripción suficiente. ","")&amp;IF(AND(ISERROR(SEARCH("R-0",F409)),ISERROR(SEARCH("CU-",F409))),"Sin ticket. ","")&amp;IF(ISNA(MATCH(E409,Datos!$E$8:$E$22,0)),"Proyecto sin valor hora. ","")&amp;IF(ISNA(MATCH(D409,Datos!$A$8:$A$22,0)),"Persona fuera del equipo. ","")))</f>
        <v/>
      </c>
      <c r="I409" s="21" t="n"/>
      <c r="J409" s="22" t="n"/>
      <c r="K409" s="23">
        <f>IF(G409="","",IF(J409&lt;&gt;"",MIN(J409,G409),IF(OR(I409="Observada",I409="Rechazada"),0,G409)))</f>
        <v/>
      </c>
      <c r="L409" s="24" t="n"/>
      <c r="M409" s="25">
        <f>IF(OR(A409="",D409=""),0,IF(COUNTIFS($A$2:A409,A409,$D$2:D409,D409)=1,1,0))</f>
        <v/>
      </c>
    </row>
    <row r="410">
      <c r="A410" s="26" t="n"/>
      <c r="B410" s="27" t="n"/>
      <c r="C410" s="27" t="n"/>
      <c r="D410" s="28" t="n"/>
      <c r="E410" s="28" t="n"/>
      <c r="F410" s="29" t="n"/>
      <c r="G410" s="30" t="n"/>
      <c r="H410" s="20">
        <f>IF(A410="","",TRIM(IF(WEEKDAY(A410,2)&gt;5,"Fin de semana. ","")&amp;IF(SUMIFS($G$2:$G$601,$A$2:$A$601,A410,$D$2:$D$601,D410)&gt;9,"Más de 9 h en el día. ","")&amp;IF(AND(B410&lt;&gt;"",C410&lt;&gt;"",C410&lt;B410),"Cruza la medianoche. ","")&amp;IF(LEN(TRIM(F410))&lt;15,"Sin descripción suficiente. ","")&amp;IF(AND(ISERROR(SEARCH("R-0",F410)),ISERROR(SEARCH("CU-",F410))),"Sin ticket. ","")&amp;IF(ISNA(MATCH(E410,Datos!$E$8:$E$22,0)),"Proyecto sin valor hora. ","")&amp;IF(ISNA(MATCH(D410,Datos!$A$8:$A$22,0)),"Persona fuera del equipo. ","")))</f>
        <v/>
      </c>
      <c r="I410" s="21" t="n"/>
      <c r="J410" s="22" t="n"/>
      <c r="K410" s="23">
        <f>IF(G410="","",IF(J410&lt;&gt;"",MIN(J410,G410),IF(OR(I410="Observada",I410="Rechazada"),0,G410)))</f>
        <v/>
      </c>
      <c r="L410" s="24" t="n"/>
      <c r="M410" s="25">
        <f>IF(OR(A410="",D410=""),0,IF(COUNTIFS($A$2:A410,A410,$D$2:D410,D410)=1,1,0))</f>
        <v/>
      </c>
    </row>
    <row r="411">
      <c r="A411" s="26" t="n"/>
      <c r="B411" s="27" t="n"/>
      <c r="C411" s="27" t="n"/>
      <c r="D411" s="28" t="n"/>
      <c r="E411" s="28" t="n"/>
      <c r="F411" s="29" t="n"/>
      <c r="G411" s="30" t="n"/>
      <c r="H411" s="20">
        <f>IF(A411="","",TRIM(IF(WEEKDAY(A411,2)&gt;5,"Fin de semana. ","")&amp;IF(SUMIFS($G$2:$G$601,$A$2:$A$601,A411,$D$2:$D$601,D411)&gt;9,"Más de 9 h en el día. ","")&amp;IF(AND(B411&lt;&gt;"",C411&lt;&gt;"",C411&lt;B411),"Cruza la medianoche. ","")&amp;IF(LEN(TRIM(F411))&lt;15,"Sin descripción suficiente. ","")&amp;IF(AND(ISERROR(SEARCH("R-0",F411)),ISERROR(SEARCH("CU-",F411))),"Sin ticket. ","")&amp;IF(ISNA(MATCH(E411,Datos!$E$8:$E$22,0)),"Proyecto sin valor hora. ","")&amp;IF(ISNA(MATCH(D411,Datos!$A$8:$A$22,0)),"Persona fuera del equipo. ","")))</f>
        <v/>
      </c>
      <c r="I411" s="21" t="n"/>
      <c r="J411" s="22" t="n"/>
      <c r="K411" s="23">
        <f>IF(G411="","",IF(J411&lt;&gt;"",MIN(J411,G411),IF(OR(I411="Observada",I411="Rechazada"),0,G411)))</f>
        <v/>
      </c>
      <c r="L411" s="24" t="n"/>
      <c r="M411" s="25">
        <f>IF(OR(A411="",D411=""),0,IF(COUNTIFS($A$2:A411,A411,$D$2:D411,D411)=1,1,0))</f>
        <v/>
      </c>
    </row>
    <row r="412">
      <c r="A412" s="26" t="n"/>
      <c r="B412" s="27" t="n"/>
      <c r="C412" s="27" t="n"/>
      <c r="D412" s="28" t="n"/>
      <c r="E412" s="28" t="n"/>
      <c r="F412" s="29" t="n"/>
      <c r="G412" s="30" t="n"/>
      <c r="H412" s="20">
        <f>IF(A412="","",TRIM(IF(WEEKDAY(A412,2)&gt;5,"Fin de semana. ","")&amp;IF(SUMIFS($G$2:$G$601,$A$2:$A$601,A412,$D$2:$D$601,D412)&gt;9,"Más de 9 h en el día. ","")&amp;IF(AND(B412&lt;&gt;"",C412&lt;&gt;"",C412&lt;B412),"Cruza la medianoche. ","")&amp;IF(LEN(TRIM(F412))&lt;15,"Sin descripción suficiente. ","")&amp;IF(AND(ISERROR(SEARCH("R-0",F412)),ISERROR(SEARCH("CU-",F412))),"Sin ticket. ","")&amp;IF(ISNA(MATCH(E412,Datos!$E$8:$E$22,0)),"Proyecto sin valor hora. ","")&amp;IF(ISNA(MATCH(D412,Datos!$A$8:$A$22,0)),"Persona fuera del equipo. ","")))</f>
        <v/>
      </c>
      <c r="I412" s="21" t="n"/>
      <c r="J412" s="22" t="n"/>
      <c r="K412" s="23">
        <f>IF(G412="","",IF(J412&lt;&gt;"",MIN(J412,G412),IF(OR(I412="Observada",I412="Rechazada"),0,G412)))</f>
        <v/>
      </c>
      <c r="L412" s="24" t="n"/>
      <c r="M412" s="25">
        <f>IF(OR(A412="",D412=""),0,IF(COUNTIFS($A$2:A412,A412,$D$2:D412,D412)=1,1,0))</f>
        <v/>
      </c>
    </row>
    <row r="413">
      <c r="A413" s="26" t="n"/>
      <c r="B413" s="27" t="n"/>
      <c r="C413" s="27" t="n"/>
      <c r="D413" s="28" t="n"/>
      <c r="E413" s="28" t="n"/>
      <c r="F413" s="29" t="n"/>
      <c r="G413" s="30" t="n"/>
      <c r="H413" s="20">
        <f>IF(A413="","",TRIM(IF(WEEKDAY(A413,2)&gt;5,"Fin de semana. ","")&amp;IF(SUMIFS($G$2:$G$601,$A$2:$A$601,A413,$D$2:$D$601,D413)&gt;9,"Más de 9 h en el día. ","")&amp;IF(AND(B413&lt;&gt;"",C413&lt;&gt;"",C413&lt;B413),"Cruza la medianoche. ","")&amp;IF(LEN(TRIM(F413))&lt;15,"Sin descripción suficiente. ","")&amp;IF(AND(ISERROR(SEARCH("R-0",F413)),ISERROR(SEARCH("CU-",F413))),"Sin ticket. ","")&amp;IF(ISNA(MATCH(E413,Datos!$E$8:$E$22,0)),"Proyecto sin valor hora. ","")&amp;IF(ISNA(MATCH(D413,Datos!$A$8:$A$22,0)),"Persona fuera del equipo. ","")))</f>
        <v/>
      </c>
      <c r="I413" s="21" t="n"/>
      <c r="J413" s="22" t="n"/>
      <c r="K413" s="23">
        <f>IF(G413="","",IF(J413&lt;&gt;"",MIN(J413,G413),IF(OR(I413="Observada",I413="Rechazada"),0,G413)))</f>
        <v/>
      </c>
      <c r="L413" s="24" t="n"/>
      <c r="M413" s="25">
        <f>IF(OR(A413="",D413=""),0,IF(COUNTIFS($A$2:A413,A413,$D$2:D413,D413)=1,1,0))</f>
        <v/>
      </c>
    </row>
    <row r="414">
      <c r="A414" s="26" t="n"/>
      <c r="B414" s="27" t="n"/>
      <c r="C414" s="27" t="n"/>
      <c r="D414" s="28" t="n"/>
      <c r="E414" s="28" t="n"/>
      <c r="F414" s="29" t="n"/>
      <c r="G414" s="30" t="n"/>
      <c r="H414" s="20">
        <f>IF(A414="","",TRIM(IF(WEEKDAY(A414,2)&gt;5,"Fin de semana. ","")&amp;IF(SUMIFS($G$2:$G$601,$A$2:$A$601,A414,$D$2:$D$601,D414)&gt;9,"Más de 9 h en el día. ","")&amp;IF(AND(B414&lt;&gt;"",C414&lt;&gt;"",C414&lt;B414),"Cruza la medianoche. ","")&amp;IF(LEN(TRIM(F414))&lt;15,"Sin descripción suficiente. ","")&amp;IF(AND(ISERROR(SEARCH("R-0",F414)),ISERROR(SEARCH("CU-",F414))),"Sin ticket. ","")&amp;IF(ISNA(MATCH(E414,Datos!$E$8:$E$22,0)),"Proyecto sin valor hora. ","")&amp;IF(ISNA(MATCH(D414,Datos!$A$8:$A$22,0)),"Persona fuera del equipo. ","")))</f>
        <v/>
      </c>
      <c r="I414" s="21" t="n"/>
      <c r="J414" s="22" t="n"/>
      <c r="K414" s="23">
        <f>IF(G414="","",IF(J414&lt;&gt;"",MIN(J414,G414),IF(OR(I414="Observada",I414="Rechazada"),0,G414)))</f>
        <v/>
      </c>
      <c r="L414" s="24" t="n"/>
      <c r="M414" s="25">
        <f>IF(OR(A414="",D414=""),0,IF(COUNTIFS($A$2:A414,A414,$D$2:D414,D414)=1,1,0))</f>
        <v/>
      </c>
    </row>
    <row r="415">
      <c r="A415" s="26" t="n"/>
      <c r="B415" s="27" t="n"/>
      <c r="C415" s="27" t="n"/>
      <c r="D415" s="28" t="n"/>
      <c r="E415" s="28" t="n"/>
      <c r="F415" s="29" t="n"/>
      <c r="G415" s="30" t="n"/>
      <c r="H415" s="20">
        <f>IF(A415="","",TRIM(IF(WEEKDAY(A415,2)&gt;5,"Fin de semana. ","")&amp;IF(SUMIFS($G$2:$G$601,$A$2:$A$601,A415,$D$2:$D$601,D415)&gt;9,"Más de 9 h en el día. ","")&amp;IF(AND(B415&lt;&gt;"",C415&lt;&gt;"",C415&lt;B415),"Cruza la medianoche. ","")&amp;IF(LEN(TRIM(F415))&lt;15,"Sin descripción suficiente. ","")&amp;IF(AND(ISERROR(SEARCH("R-0",F415)),ISERROR(SEARCH("CU-",F415))),"Sin ticket. ","")&amp;IF(ISNA(MATCH(E415,Datos!$E$8:$E$22,0)),"Proyecto sin valor hora. ","")&amp;IF(ISNA(MATCH(D415,Datos!$A$8:$A$22,0)),"Persona fuera del equipo. ","")))</f>
        <v/>
      </c>
      <c r="I415" s="21" t="n"/>
      <c r="J415" s="22" t="n"/>
      <c r="K415" s="23">
        <f>IF(G415="","",IF(J415&lt;&gt;"",MIN(J415,G415),IF(OR(I415="Observada",I415="Rechazada"),0,G415)))</f>
        <v/>
      </c>
      <c r="L415" s="24" t="n"/>
      <c r="M415" s="25">
        <f>IF(OR(A415="",D415=""),0,IF(COUNTIFS($A$2:A415,A415,$D$2:D415,D415)=1,1,0))</f>
        <v/>
      </c>
    </row>
    <row r="416">
      <c r="A416" s="26" t="n"/>
      <c r="B416" s="27" t="n"/>
      <c r="C416" s="27" t="n"/>
      <c r="D416" s="28" t="n"/>
      <c r="E416" s="28" t="n"/>
      <c r="F416" s="29" t="n"/>
      <c r="G416" s="30" t="n"/>
      <c r="H416" s="20">
        <f>IF(A416="","",TRIM(IF(WEEKDAY(A416,2)&gt;5,"Fin de semana. ","")&amp;IF(SUMIFS($G$2:$G$601,$A$2:$A$601,A416,$D$2:$D$601,D416)&gt;9,"Más de 9 h en el día. ","")&amp;IF(AND(B416&lt;&gt;"",C416&lt;&gt;"",C416&lt;B416),"Cruza la medianoche. ","")&amp;IF(LEN(TRIM(F416))&lt;15,"Sin descripción suficiente. ","")&amp;IF(AND(ISERROR(SEARCH("R-0",F416)),ISERROR(SEARCH("CU-",F416))),"Sin ticket. ","")&amp;IF(ISNA(MATCH(E416,Datos!$E$8:$E$22,0)),"Proyecto sin valor hora. ","")&amp;IF(ISNA(MATCH(D416,Datos!$A$8:$A$22,0)),"Persona fuera del equipo. ","")))</f>
        <v/>
      </c>
      <c r="I416" s="21" t="n"/>
      <c r="J416" s="22" t="n"/>
      <c r="K416" s="23">
        <f>IF(G416="","",IF(J416&lt;&gt;"",MIN(J416,G416),IF(OR(I416="Observada",I416="Rechazada"),0,G416)))</f>
        <v/>
      </c>
      <c r="L416" s="24" t="n"/>
      <c r="M416" s="25">
        <f>IF(OR(A416="",D416=""),0,IF(COUNTIFS($A$2:A416,A416,$D$2:D416,D416)=1,1,0))</f>
        <v/>
      </c>
    </row>
    <row r="417">
      <c r="A417" s="26" t="n"/>
      <c r="B417" s="27" t="n"/>
      <c r="C417" s="27" t="n"/>
      <c r="D417" s="28" t="n"/>
      <c r="E417" s="28" t="n"/>
      <c r="F417" s="29" t="n"/>
      <c r="G417" s="30" t="n"/>
      <c r="H417" s="20">
        <f>IF(A417="","",TRIM(IF(WEEKDAY(A417,2)&gt;5,"Fin de semana. ","")&amp;IF(SUMIFS($G$2:$G$601,$A$2:$A$601,A417,$D$2:$D$601,D417)&gt;9,"Más de 9 h en el día. ","")&amp;IF(AND(B417&lt;&gt;"",C417&lt;&gt;"",C417&lt;B417),"Cruza la medianoche. ","")&amp;IF(LEN(TRIM(F417))&lt;15,"Sin descripción suficiente. ","")&amp;IF(AND(ISERROR(SEARCH("R-0",F417)),ISERROR(SEARCH("CU-",F417))),"Sin ticket. ","")&amp;IF(ISNA(MATCH(E417,Datos!$E$8:$E$22,0)),"Proyecto sin valor hora. ","")&amp;IF(ISNA(MATCH(D417,Datos!$A$8:$A$22,0)),"Persona fuera del equipo. ","")))</f>
        <v/>
      </c>
      <c r="I417" s="21" t="n"/>
      <c r="J417" s="22" t="n"/>
      <c r="K417" s="23">
        <f>IF(G417="","",IF(J417&lt;&gt;"",MIN(J417,G417),IF(OR(I417="Observada",I417="Rechazada"),0,G417)))</f>
        <v/>
      </c>
      <c r="L417" s="24" t="n"/>
      <c r="M417" s="25">
        <f>IF(OR(A417="",D417=""),0,IF(COUNTIFS($A$2:A417,A417,$D$2:D417,D417)=1,1,0))</f>
        <v/>
      </c>
    </row>
    <row r="418">
      <c r="A418" s="26" t="n"/>
      <c r="B418" s="27" t="n"/>
      <c r="C418" s="27" t="n"/>
      <c r="D418" s="28" t="n"/>
      <c r="E418" s="28" t="n"/>
      <c r="F418" s="29" t="n"/>
      <c r="G418" s="30" t="n"/>
      <c r="H418" s="20">
        <f>IF(A418="","",TRIM(IF(WEEKDAY(A418,2)&gt;5,"Fin de semana. ","")&amp;IF(SUMIFS($G$2:$G$601,$A$2:$A$601,A418,$D$2:$D$601,D418)&gt;9,"Más de 9 h en el día. ","")&amp;IF(AND(B418&lt;&gt;"",C418&lt;&gt;"",C418&lt;B418),"Cruza la medianoche. ","")&amp;IF(LEN(TRIM(F418))&lt;15,"Sin descripción suficiente. ","")&amp;IF(AND(ISERROR(SEARCH("R-0",F418)),ISERROR(SEARCH("CU-",F418))),"Sin ticket. ","")&amp;IF(ISNA(MATCH(E418,Datos!$E$8:$E$22,0)),"Proyecto sin valor hora. ","")&amp;IF(ISNA(MATCH(D418,Datos!$A$8:$A$22,0)),"Persona fuera del equipo. ","")))</f>
        <v/>
      </c>
      <c r="I418" s="21" t="n"/>
      <c r="J418" s="22" t="n"/>
      <c r="K418" s="23">
        <f>IF(G418="","",IF(J418&lt;&gt;"",MIN(J418,G418),IF(OR(I418="Observada",I418="Rechazada"),0,G418)))</f>
        <v/>
      </c>
      <c r="L418" s="24" t="n"/>
      <c r="M418" s="25">
        <f>IF(OR(A418="",D418=""),0,IF(COUNTIFS($A$2:A418,A418,$D$2:D418,D418)=1,1,0))</f>
        <v/>
      </c>
    </row>
    <row r="419">
      <c r="A419" s="26" t="n"/>
      <c r="B419" s="27" t="n"/>
      <c r="C419" s="27" t="n"/>
      <c r="D419" s="28" t="n"/>
      <c r="E419" s="28" t="n"/>
      <c r="F419" s="29" t="n"/>
      <c r="G419" s="30" t="n"/>
      <c r="H419" s="20">
        <f>IF(A419="","",TRIM(IF(WEEKDAY(A419,2)&gt;5,"Fin de semana. ","")&amp;IF(SUMIFS($G$2:$G$601,$A$2:$A$601,A419,$D$2:$D$601,D419)&gt;9,"Más de 9 h en el día. ","")&amp;IF(AND(B419&lt;&gt;"",C419&lt;&gt;"",C419&lt;B419),"Cruza la medianoche. ","")&amp;IF(LEN(TRIM(F419))&lt;15,"Sin descripción suficiente. ","")&amp;IF(AND(ISERROR(SEARCH("R-0",F419)),ISERROR(SEARCH("CU-",F419))),"Sin ticket. ","")&amp;IF(ISNA(MATCH(E419,Datos!$E$8:$E$22,0)),"Proyecto sin valor hora. ","")&amp;IF(ISNA(MATCH(D419,Datos!$A$8:$A$22,0)),"Persona fuera del equipo. ","")))</f>
        <v/>
      </c>
      <c r="I419" s="21" t="n"/>
      <c r="J419" s="22" t="n"/>
      <c r="K419" s="23">
        <f>IF(G419="","",IF(J419&lt;&gt;"",MIN(J419,G419),IF(OR(I419="Observada",I419="Rechazada"),0,G419)))</f>
        <v/>
      </c>
      <c r="L419" s="24" t="n"/>
      <c r="M419" s="25">
        <f>IF(OR(A419="",D419=""),0,IF(COUNTIFS($A$2:A419,A419,$D$2:D419,D419)=1,1,0))</f>
        <v/>
      </c>
    </row>
    <row r="420">
      <c r="A420" s="26" t="n"/>
      <c r="B420" s="27" t="n"/>
      <c r="C420" s="27" t="n"/>
      <c r="D420" s="28" t="n"/>
      <c r="E420" s="28" t="n"/>
      <c r="F420" s="29" t="n"/>
      <c r="G420" s="30" t="n"/>
      <c r="H420" s="20">
        <f>IF(A420="","",TRIM(IF(WEEKDAY(A420,2)&gt;5,"Fin de semana. ","")&amp;IF(SUMIFS($G$2:$G$601,$A$2:$A$601,A420,$D$2:$D$601,D420)&gt;9,"Más de 9 h en el día. ","")&amp;IF(AND(B420&lt;&gt;"",C420&lt;&gt;"",C420&lt;B420),"Cruza la medianoche. ","")&amp;IF(LEN(TRIM(F420))&lt;15,"Sin descripción suficiente. ","")&amp;IF(AND(ISERROR(SEARCH("R-0",F420)),ISERROR(SEARCH("CU-",F420))),"Sin ticket. ","")&amp;IF(ISNA(MATCH(E420,Datos!$E$8:$E$22,0)),"Proyecto sin valor hora. ","")&amp;IF(ISNA(MATCH(D420,Datos!$A$8:$A$22,0)),"Persona fuera del equipo. ","")))</f>
        <v/>
      </c>
      <c r="I420" s="21" t="n"/>
      <c r="J420" s="22" t="n"/>
      <c r="K420" s="23">
        <f>IF(G420="","",IF(J420&lt;&gt;"",MIN(J420,G420),IF(OR(I420="Observada",I420="Rechazada"),0,G420)))</f>
        <v/>
      </c>
      <c r="L420" s="24" t="n"/>
      <c r="M420" s="25">
        <f>IF(OR(A420="",D420=""),0,IF(COUNTIFS($A$2:A420,A420,$D$2:D420,D420)=1,1,0))</f>
        <v/>
      </c>
    </row>
    <row r="421">
      <c r="A421" s="26" t="n"/>
      <c r="B421" s="27" t="n"/>
      <c r="C421" s="27" t="n"/>
      <c r="D421" s="28" t="n"/>
      <c r="E421" s="28" t="n"/>
      <c r="F421" s="29" t="n"/>
      <c r="G421" s="30" t="n"/>
      <c r="H421" s="20">
        <f>IF(A421="","",TRIM(IF(WEEKDAY(A421,2)&gt;5,"Fin de semana. ","")&amp;IF(SUMIFS($G$2:$G$601,$A$2:$A$601,A421,$D$2:$D$601,D421)&gt;9,"Más de 9 h en el día. ","")&amp;IF(AND(B421&lt;&gt;"",C421&lt;&gt;"",C421&lt;B421),"Cruza la medianoche. ","")&amp;IF(LEN(TRIM(F421))&lt;15,"Sin descripción suficiente. ","")&amp;IF(AND(ISERROR(SEARCH("R-0",F421)),ISERROR(SEARCH("CU-",F421))),"Sin ticket. ","")&amp;IF(ISNA(MATCH(E421,Datos!$E$8:$E$22,0)),"Proyecto sin valor hora. ","")&amp;IF(ISNA(MATCH(D421,Datos!$A$8:$A$22,0)),"Persona fuera del equipo. ","")))</f>
        <v/>
      </c>
      <c r="I421" s="21" t="n"/>
      <c r="J421" s="22" t="n"/>
      <c r="K421" s="23">
        <f>IF(G421="","",IF(J421&lt;&gt;"",MIN(J421,G421),IF(OR(I421="Observada",I421="Rechazada"),0,G421)))</f>
        <v/>
      </c>
      <c r="L421" s="24" t="n"/>
      <c r="M421" s="25">
        <f>IF(OR(A421="",D421=""),0,IF(COUNTIFS($A$2:A421,A421,$D$2:D421,D421)=1,1,0))</f>
        <v/>
      </c>
    </row>
    <row r="422">
      <c r="A422" s="26" t="n"/>
      <c r="B422" s="27" t="n"/>
      <c r="C422" s="27" t="n"/>
      <c r="D422" s="28" t="n"/>
      <c r="E422" s="28" t="n"/>
      <c r="F422" s="29" t="n"/>
      <c r="G422" s="30" t="n"/>
      <c r="H422" s="20">
        <f>IF(A422="","",TRIM(IF(WEEKDAY(A422,2)&gt;5,"Fin de semana. ","")&amp;IF(SUMIFS($G$2:$G$601,$A$2:$A$601,A422,$D$2:$D$601,D422)&gt;9,"Más de 9 h en el día. ","")&amp;IF(AND(B422&lt;&gt;"",C422&lt;&gt;"",C422&lt;B422),"Cruza la medianoche. ","")&amp;IF(LEN(TRIM(F422))&lt;15,"Sin descripción suficiente. ","")&amp;IF(AND(ISERROR(SEARCH("R-0",F422)),ISERROR(SEARCH("CU-",F422))),"Sin ticket. ","")&amp;IF(ISNA(MATCH(E422,Datos!$E$8:$E$22,0)),"Proyecto sin valor hora. ","")&amp;IF(ISNA(MATCH(D422,Datos!$A$8:$A$22,0)),"Persona fuera del equipo. ","")))</f>
        <v/>
      </c>
      <c r="I422" s="21" t="n"/>
      <c r="J422" s="22" t="n"/>
      <c r="K422" s="23">
        <f>IF(G422="","",IF(J422&lt;&gt;"",MIN(J422,G422),IF(OR(I422="Observada",I422="Rechazada"),0,G422)))</f>
        <v/>
      </c>
      <c r="L422" s="24" t="n"/>
      <c r="M422" s="25">
        <f>IF(OR(A422="",D422=""),0,IF(COUNTIFS($A$2:A422,A422,$D$2:D422,D422)=1,1,0))</f>
        <v/>
      </c>
    </row>
    <row r="423">
      <c r="A423" s="26" t="n"/>
      <c r="B423" s="27" t="n"/>
      <c r="C423" s="27" t="n"/>
      <c r="D423" s="28" t="n"/>
      <c r="E423" s="28" t="n"/>
      <c r="F423" s="29" t="n"/>
      <c r="G423" s="30" t="n"/>
      <c r="H423" s="20">
        <f>IF(A423="","",TRIM(IF(WEEKDAY(A423,2)&gt;5,"Fin de semana. ","")&amp;IF(SUMIFS($G$2:$G$601,$A$2:$A$601,A423,$D$2:$D$601,D423)&gt;9,"Más de 9 h en el día. ","")&amp;IF(AND(B423&lt;&gt;"",C423&lt;&gt;"",C423&lt;B423),"Cruza la medianoche. ","")&amp;IF(LEN(TRIM(F423))&lt;15,"Sin descripción suficiente. ","")&amp;IF(AND(ISERROR(SEARCH("R-0",F423)),ISERROR(SEARCH("CU-",F423))),"Sin ticket. ","")&amp;IF(ISNA(MATCH(E423,Datos!$E$8:$E$22,0)),"Proyecto sin valor hora. ","")&amp;IF(ISNA(MATCH(D423,Datos!$A$8:$A$22,0)),"Persona fuera del equipo. ","")))</f>
        <v/>
      </c>
      <c r="I423" s="21" t="n"/>
      <c r="J423" s="22" t="n"/>
      <c r="K423" s="23">
        <f>IF(G423="","",IF(J423&lt;&gt;"",MIN(J423,G423),IF(OR(I423="Observada",I423="Rechazada"),0,G423)))</f>
        <v/>
      </c>
      <c r="L423" s="24" t="n"/>
      <c r="M423" s="25">
        <f>IF(OR(A423="",D423=""),0,IF(COUNTIFS($A$2:A423,A423,$D$2:D423,D423)=1,1,0))</f>
        <v/>
      </c>
    </row>
    <row r="424">
      <c r="A424" s="26" t="n"/>
      <c r="B424" s="27" t="n"/>
      <c r="C424" s="27" t="n"/>
      <c r="D424" s="28" t="n"/>
      <c r="E424" s="28" t="n"/>
      <c r="F424" s="29" t="n"/>
      <c r="G424" s="30" t="n"/>
      <c r="H424" s="20">
        <f>IF(A424="","",TRIM(IF(WEEKDAY(A424,2)&gt;5,"Fin de semana. ","")&amp;IF(SUMIFS($G$2:$G$601,$A$2:$A$601,A424,$D$2:$D$601,D424)&gt;9,"Más de 9 h en el día. ","")&amp;IF(AND(B424&lt;&gt;"",C424&lt;&gt;"",C424&lt;B424),"Cruza la medianoche. ","")&amp;IF(LEN(TRIM(F424))&lt;15,"Sin descripción suficiente. ","")&amp;IF(AND(ISERROR(SEARCH("R-0",F424)),ISERROR(SEARCH("CU-",F424))),"Sin ticket. ","")&amp;IF(ISNA(MATCH(E424,Datos!$E$8:$E$22,0)),"Proyecto sin valor hora. ","")&amp;IF(ISNA(MATCH(D424,Datos!$A$8:$A$22,0)),"Persona fuera del equipo. ","")))</f>
        <v/>
      </c>
      <c r="I424" s="21" t="n"/>
      <c r="J424" s="22" t="n"/>
      <c r="K424" s="23">
        <f>IF(G424="","",IF(J424&lt;&gt;"",MIN(J424,G424),IF(OR(I424="Observada",I424="Rechazada"),0,G424)))</f>
        <v/>
      </c>
      <c r="L424" s="24" t="n"/>
      <c r="M424" s="25">
        <f>IF(OR(A424="",D424=""),0,IF(COUNTIFS($A$2:A424,A424,$D$2:D424,D424)=1,1,0))</f>
        <v/>
      </c>
    </row>
    <row r="425">
      <c r="A425" s="26" t="n"/>
      <c r="B425" s="27" t="n"/>
      <c r="C425" s="27" t="n"/>
      <c r="D425" s="28" t="n"/>
      <c r="E425" s="28" t="n"/>
      <c r="F425" s="29" t="n"/>
      <c r="G425" s="30" t="n"/>
      <c r="H425" s="20">
        <f>IF(A425="","",TRIM(IF(WEEKDAY(A425,2)&gt;5,"Fin de semana. ","")&amp;IF(SUMIFS($G$2:$G$601,$A$2:$A$601,A425,$D$2:$D$601,D425)&gt;9,"Más de 9 h en el día. ","")&amp;IF(AND(B425&lt;&gt;"",C425&lt;&gt;"",C425&lt;B425),"Cruza la medianoche. ","")&amp;IF(LEN(TRIM(F425))&lt;15,"Sin descripción suficiente. ","")&amp;IF(AND(ISERROR(SEARCH("R-0",F425)),ISERROR(SEARCH("CU-",F425))),"Sin ticket. ","")&amp;IF(ISNA(MATCH(E425,Datos!$E$8:$E$22,0)),"Proyecto sin valor hora. ","")&amp;IF(ISNA(MATCH(D425,Datos!$A$8:$A$22,0)),"Persona fuera del equipo. ","")))</f>
        <v/>
      </c>
      <c r="I425" s="21" t="n"/>
      <c r="J425" s="22" t="n"/>
      <c r="K425" s="23">
        <f>IF(G425="","",IF(J425&lt;&gt;"",MIN(J425,G425),IF(OR(I425="Observada",I425="Rechazada"),0,G425)))</f>
        <v/>
      </c>
      <c r="L425" s="24" t="n"/>
      <c r="M425" s="25">
        <f>IF(OR(A425="",D425=""),0,IF(COUNTIFS($A$2:A425,A425,$D$2:D425,D425)=1,1,0))</f>
        <v/>
      </c>
    </row>
    <row r="426">
      <c r="A426" s="26" t="n"/>
      <c r="B426" s="27" t="n"/>
      <c r="C426" s="27" t="n"/>
      <c r="D426" s="28" t="n"/>
      <c r="E426" s="28" t="n"/>
      <c r="F426" s="29" t="n"/>
      <c r="G426" s="30" t="n"/>
      <c r="H426" s="20">
        <f>IF(A426="","",TRIM(IF(WEEKDAY(A426,2)&gt;5,"Fin de semana. ","")&amp;IF(SUMIFS($G$2:$G$601,$A$2:$A$601,A426,$D$2:$D$601,D426)&gt;9,"Más de 9 h en el día. ","")&amp;IF(AND(B426&lt;&gt;"",C426&lt;&gt;"",C426&lt;B426),"Cruza la medianoche. ","")&amp;IF(LEN(TRIM(F426))&lt;15,"Sin descripción suficiente. ","")&amp;IF(AND(ISERROR(SEARCH("R-0",F426)),ISERROR(SEARCH("CU-",F426))),"Sin ticket. ","")&amp;IF(ISNA(MATCH(E426,Datos!$E$8:$E$22,0)),"Proyecto sin valor hora. ","")&amp;IF(ISNA(MATCH(D426,Datos!$A$8:$A$22,0)),"Persona fuera del equipo. ","")))</f>
        <v/>
      </c>
      <c r="I426" s="21" t="n"/>
      <c r="J426" s="22" t="n"/>
      <c r="K426" s="23">
        <f>IF(G426="","",IF(J426&lt;&gt;"",MIN(J426,G426),IF(OR(I426="Observada",I426="Rechazada"),0,G426)))</f>
        <v/>
      </c>
      <c r="L426" s="24" t="n"/>
      <c r="M426" s="25">
        <f>IF(OR(A426="",D426=""),0,IF(COUNTIFS($A$2:A426,A426,$D$2:D426,D426)=1,1,0))</f>
        <v/>
      </c>
    </row>
    <row r="427">
      <c r="A427" s="26" t="n"/>
      <c r="B427" s="27" t="n"/>
      <c r="C427" s="27" t="n"/>
      <c r="D427" s="28" t="n"/>
      <c r="E427" s="28" t="n"/>
      <c r="F427" s="29" t="n"/>
      <c r="G427" s="30" t="n"/>
      <c r="H427" s="20">
        <f>IF(A427="","",TRIM(IF(WEEKDAY(A427,2)&gt;5,"Fin de semana. ","")&amp;IF(SUMIFS($G$2:$G$601,$A$2:$A$601,A427,$D$2:$D$601,D427)&gt;9,"Más de 9 h en el día. ","")&amp;IF(AND(B427&lt;&gt;"",C427&lt;&gt;"",C427&lt;B427),"Cruza la medianoche. ","")&amp;IF(LEN(TRIM(F427))&lt;15,"Sin descripción suficiente. ","")&amp;IF(AND(ISERROR(SEARCH("R-0",F427)),ISERROR(SEARCH("CU-",F427))),"Sin ticket. ","")&amp;IF(ISNA(MATCH(E427,Datos!$E$8:$E$22,0)),"Proyecto sin valor hora. ","")&amp;IF(ISNA(MATCH(D427,Datos!$A$8:$A$22,0)),"Persona fuera del equipo. ","")))</f>
        <v/>
      </c>
      <c r="I427" s="21" t="n"/>
      <c r="J427" s="22" t="n"/>
      <c r="K427" s="23">
        <f>IF(G427="","",IF(J427&lt;&gt;"",MIN(J427,G427),IF(OR(I427="Observada",I427="Rechazada"),0,G427)))</f>
        <v/>
      </c>
      <c r="L427" s="24" t="n"/>
      <c r="M427" s="25">
        <f>IF(OR(A427="",D427=""),0,IF(COUNTIFS($A$2:A427,A427,$D$2:D427,D427)=1,1,0))</f>
        <v/>
      </c>
    </row>
    <row r="428">
      <c r="A428" s="26" t="n"/>
      <c r="B428" s="27" t="n"/>
      <c r="C428" s="27" t="n"/>
      <c r="D428" s="28" t="n"/>
      <c r="E428" s="28" t="n"/>
      <c r="F428" s="29" t="n"/>
      <c r="G428" s="30" t="n"/>
      <c r="H428" s="20">
        <f>IF(A428="","",TRIM(IF(WEEKDAY(A428,2)&gt;5,"Fin de semana. ","")&amp;IF(SUMIFS($G$2:$G$601,$A$2:$A$601,A428,$D$2:$D$601,D428)&gt;9,"Más de 9 h en el día. ","")&amp;IF(AND(B428&lt;&gt;"",C428&lt;&gt;"",C428&lt;B428),"Cruza la medianoche. ","")&amp;IF(LEN(TRIM(F428))&lt;15,"Sin descripción suficiente. ","")&amp;IF(AND(ISERROR(SEARCH("R-0",F428)),ISERROR(SEARCH("CU-",F428))),"Sin ticket. ","")&amp;IF(ISNA(MATCH(E428,Datos!$E$8:$E$22,0)),"Proyecto sin valor hora. ","")&amp;IF(ISNA(MATCH(D428,Datos!$A$8:$A$22,0)),"Persona fuera del equipo. ","")))</f>
        <v/>
      </c>
      <c r="I428" s="21" t="n"/>
      <c r="J428" s="22" t="n"/>
      <c r="K428" s="23">
        <f>IF(G428="","",IF(J428&lt;&gt;"",MIN(J428,G428),IF(OR(I428="Observada",I428="Rechazada"),0,G428)))</f>
        <v/>
      </c>
      <c r="L428" s="24" t="n"/>
      <c r="M428" s="25">
        <f>IF(OR(A428="",D428=""),0,IF(COUNTIFS($A$2:A428,A428,$D$2:D428,D428)=1,1,0))</f>
        <v/>
      </c>
    </row>
    <row r="429">
      <c r="A429" s="26" t="n"/>
      <c r="B429" s="27" t="n"/>
      <c r="C429" s="27" t="n"/>
      <c r="D429" s="28" t="n"/>
      <c r="E429" s="28" t="n"/>
      <c r="F429" s="29" t="n"/>
      <c r="G429" s="30" t="n"/>
      <c r="H429" s="20">
        <f>IF(A429="","",TRIM(IF(WEEKDAY(A429,2)&gt;5,"Fin de semana. ","")&amp;IF(SUMIFS($G$2:$G$601,$A$2:$A$601,A429,$D$2:$D$601,D429)&gt;9,"Más de 9 h en el día. ","")&amp;IF(AND(B429&lt;&gt;"",C429&lt;&gt;"",C429&lt;B429),"Cruza la medianoche. ","")&amp;IF(LEN(TRIM(F429))&lt;15,"Sin descripción suficiente. ","")&amp;IF(AND(ISERROR(SEARCH("R-0",F429)),ISERROR(SEARCH("CU-",F429))),"Sin ticket. ","")&amp;IF(ISNA(MATCH(E429,Datos!$E$8:$E$22,0)),"Proyecto sin valor hora. ","")&amp;IF(ISNA(MATCH(D429,Datos!$A$8:$A$22,0)),"Persona fuera del equipo. ","")))</f>
        <v/>
      </c>
      <c r="I429" s="21" t="n"/>
      <c r="J429" s="22" t="n"/>
      <c r="K429" s="23">
        <f>IF(G429="","",IF(J429&lt;&gt;"",MIN(J429,G429),IF(OR(I429="Observada",I429="Rechazada"),0,G429)))</f>
        <v/>
      </c>
      <c r="L429" s="24" t="n"/>
      <c r="M429" s="25">
        <f>IF(OR(A429="",D429=""),0,IF(COUNTIFS($A$2:A429,A429,$D$2:D429,D429)=1,1,0))</f>
        <v/>
      </c>
    </row>
    <row r="430">
      <c r="A430" s="26" t="n"/>
      <c r="B430" s="27" t="n"/>
      <c r="C430" s="27" t="n"/>
      <c r="D430" s="28" t="n"/>
      <c r="E430" s="28" t="n"/>
      <c r="F430" s="29" t="n"/>
      <c r="G430" s="30" t="n"/>
      <c r="H430" s="20">
        <f>IF(A430="","",TRIM(IF(WEEKDAY(A430,2)&gt;5,"Fin de semana. ","")&amp;IF(SUMIFS($G$2:$G$601,$A$2:$A$601,A430,$D$2:$D$601,D430)&gt;9,"Más de 9 h en el día. ","")&amp;IF(AND(B430&lt;&gt;"",C430&lt;&gt;"",C430&lt;B430),"Cruza la medianoche. ","")&amp;IF(LEN(TRIM(F430))&lt;15,"Sin descripción suficiente. ","")&amp;IF(AND(ISERROR(SEARCH("R-0",F430)),ISERROR(SEARCH("CU-",F430))),"Sin ticket. ","")&amp;IF(ISNA(MATCH(E430,Datos!$E$8:$E$22,0)),"Proyecto sin valor hora. ","")&amp;IF(ISNA(MATCH(D430,Datos!$A$8:$A$22,0)),"Persona fuera del equipo. ","")))</f>
        <v/>
      </c>
      <c r="I430" s="21" t="n"/>
      <c r="J430" s="22" t="n"/>
      <c r="K430" s="23">
        <f>IF(G430="","",IF(J430&lt;&gt;"",MIN(J430,G430),IF(OR(I430="Observada",I430="Rechazada"),0,G430)))</f>
        <v/>
      </c>
      <c r="L430" s="24" t="n"/>
      <c r="M430" s="25">
        <f>IF(OR(A430="",D430=""),0,IF(COUNTIFS($A$2:A430,A430,$D$2:D430,D430)=1,1,0))</f>
        <v/>
      </c>
    </row>
    <row r="431">
      <c r="A431" s="26" t="n"/>
      <c r="B431" s="27" t="n"/>
      <c r="C431" s="27" t="n"/>
      <c r="D431" s="28" t="n"/>
      <c r="E431" s="28" t="n"/>
      <c r="F431" s="29" t="n"/>
      <c r="G431" s="30" t="n"/>
      <c r="H431" s="20">
        <f>IF(A431="","",TRIM(IF(WEEKDAY(A431,2)&gt;5,"Fin de semana. ","")&amp;IF(SUMIFS($G$2:$G$601,$A$2:$A$601,A431,$D$2:$D$601,D431)&gt;9,"Más de 9 h en el día. ","")&amp;IF(AND(B431&lt;&gt;"",C431&lt;&gt;"",C431&lt;B431),"Cruza la medianoche. ","")&amp;IF(LEN(TRIM(F431))&lt;15,"Sin descripción suficiente. ","")&amp;IF(AND(ISERROR(SEARCH("R-0",F431)),ISERROR(SEARCH("CU-",F431))),"Sin ticket. ","")&amp;IF(ISNA(MATCH(E431,Datos!$E$8:$E$22,0)),"Proyecto sin valor hora. ","")&amp;IF(ISNA(MATCH(D431,Datos!$A$8:$A$22,0)),"Persona fuera del equipo. ","")))</f>
        <v/>
      </c>
      <c r="I431" s="21" t="n"/>
      <c r="J431" s="22" t="n"/>
      <c r="K431" s="23">
        <f>IF(G431="","",IF(J431&lt;&gt;"",MIN(J431,G431),IF(OR(I431="Observada",I431="Rechazada"),0,G431)))</f>
        <v/>
      </c>
      <c r="L431" s="24" t="n"/>
      <c r="M431" s="25">
        <f>IF(OR(A431="",D431=""),0,IF(COUNTIFS($A$2:A431,A431,$D$2:D431,D431)=1,1,0))</f>
        <v/>
      </c>
    </row>
    <row r="432">
      <c r="A432" s="26" t="n"/>
      <c r="B432" s="27" t="n"/>
      <c r="C432" s="27" t="n"/>
      <c r="D432" s="28" t="n"/>
      <c r="E432" s="28" t="n"/>
      <c r="F432" s="29" t="n"/>
      <c r="G432" s="30" t="n"/>
      <c r="H432" s="20">
        <f>IF(A432="","",TRIM(IF(WEEKDAY(A432,2)&gt;5,"Fin de semana. ","")&amp;IF(SUMIFS($G$2:$G$601,$A$2:$A$601,A432,$D$2:$D$601,D432)&gt;9,"Más de 9 h en el día. ","")&amp;IF(AND(B432&lt;&gt;"",C432&lt;&gt;"",C432&lt;B432),"Cruza la medianoche. ","")&amp;IF(LEN(TRIM(F432))&lt;15,"Sin descripción suficiente. ","")&amp;IF(AND(ISERROR(SEARCH("R-0",F432)),ISERROR(SEARCH("CU-",F432))),"Sin ticket. ","")&amp;IF(ISNA(MATCH(E432,Datos!$E$8:$E$22,0)),"Proyecto sin valor hora. ","")&amp;IF(ISNA(MATCH(D432,Datos!$A$8:$A$22,0)),"Persona fuera del equipo. ","")))</f>
        <v/>
      </c>
      <c r="I432" s="21" t="n"/>
      <c r="J432" s="22" t="n"/>
      <c r="K432" s="23">
        <f>IF(G432="","",IF(J432&lt;&gt;"",MIN(J432,G432),IF(OR(I432="Observada",I432="Rechazada"),0,G432)))</f>
        <v/>
      </c>
      <c r="L432" s="24" t="n"/>
      <c r="M432" s="25">
        <f>IF(OR(A432="",D432=""),0,IF(COUNTIFS($A$2:A432,A432,$D$2:D432,D432)=1,1,0))</f>
        <v/>
      </c>
    </row>
    <row r="433">
      <c r="A433" s="26" t="n"/>
      <c r="B433" s="27" t="n"/>
      <c r="C433" s="27" t="n"/>
      <c r="D433" s="28" t="n"/>
      <c r="E433" s="28" t="n"/>
      <c r="F433" s="29" t="n"/>
      <c r="G433" s="30" t="n"/>
      <c r="H433" s="20">
        <f>IF(A433="","",TRIM(IF(WEEKDAY(A433,2)&gt;5,"Fin de semana. ","")&amp;IF(SUMIFS($G$2:$G$601,$A$2:$A$601,A433,$D$2:$D$601,D433)&gt;9,"Más de 9 h en el día. ","")&amp;IF(AND(B433&lt;&gt;"",C433&lt;&gt;"",C433&lt;B433),"Cruza la medianoche. ","")&amp;IF(LEN(TRIM(F433))&lt;15,"Sin descripción suficiente. ","")&amp;IF(AND(ISERROR(SEARCH("R-0",F433)),ISERROR(SEARCH("CU-",F433))),"Sin ticket. ","")&amp;IF(ISNA(MATCH(E433,Datos!$E$8:$E$22,0)),"Proyecto sin valor hora. ","")&amp;IF(ISNA(MATCH(D433,Datos!$A$8:$A$22,0)),"Persona fuera del equipo. ","")))</f>
        <v/>
      </c>
      <c r="I433" s="21" t="n"/>
      <c r="J433" s="22" t="n"/>
      <c r="K433" s="23">
        <f>IF(G433="","",IF(J433&lt;&gt;"",MIN(J433,G433),IF(OR(I433="Observada",I433="Rechazada"),0,G433)))</f>
        <v/>
      </c>
      <c r="L433" s="24" t="n"/>
      <c r="M433" s="25">
        <f>IF(OR(A433="",D433=""),0,IF(COUNTIFS($A$2:A433,A433,$D$2:D433,D433)=1,1,0))</f>
        <v/>
      </c>
    </row>
    <row r="434">
      <c r="A434" s="26" t="n"/>
      <c r="B434" s="27" t="n"/>
      <c r="C434" s="27" t="n"/>
      <c r="D434" s="28" t="n"/>
      <c r="E434" s="28" t="n"/>
      <c r="F434" s="29" t="n"/>
      <c r="G434" s="30" t="n"/>
      <c r="H434" s="20">
        <f>IF(A434="","",TRIM(IF(WEEKDAY(A434,2)&gt;5,"Fin de semana. ","")&amp;IF(SUMIFS($G$2:$G$601,$A$2:$A$601,A434,$D$2:$D$601,D434)&gt;9,"Más de 9 h en el día. ","")&amp;IF(AND(B434&lt;&gt;"",C434&lt;&gt;"",C434&lt;B434),"Cruza la medianoche. ","")&amp;IF(LEN(TRIM(F434))&lt;15,"Sin descripción suficiente. ","")&amp;IF(AND(ISERROR(SEARCH("R-0",F434)),ISERROR(SEARCH("CU-",F434))),"Sin ticket. ","")&amp;IF(ISNA(MATCH(E434,Datos!$E$8:$E$22,0)),"Proyecto sin valor hora. ","")&amp;IF(ISNA(MATCH(D434,Datos!$A$8:$A$22,0)),"Persona fuera del equipo. ","")))</f>
        <v/>
      </c>
      <c r="I434" s="21" t="n"/>
      <c r="J434" s="22" t="n"/>
      <c r="K434" s="23">
        <f>IF(G434="","",IF(J434&lt;&gt;"",MIN(J434,G434),IF(OR(I434="Observada",I434="Rechazada"),0,G434)))</f>
        <v/>
      </c>
      <c r="L434" s="24" t="n"/>
      <c r="M434" s="25">
        <f>IF(OR(A434="",D434=""),0,IF(COUNTIFS($A$2:A434,A434,$D$2:D434,D434)=1,1,0))</f>
        <v/>
      </c>
    </row>
    <row r="435">
      <c r="A435" s="26" t="n"/>
      <c r="B435" s="27" t="n"/>
      <c r="C435" s="27" t="n"/>
      <c r="D435" s="28" t="n"/>
      <c r="E435" s="28" t="n"/>
      <c r="F435" s="29" t="n"/>
      <c r="G435" s="30" t="n"/>
      <c r="H435" s="20">
        <f>IF(A435="","",TRIM(IF(WEEKDAY(A435,2)&gt;5,"Fin de semana. ","")&amp;IF(SUMIFS($G$2:$G$601,$A$2:$A$601,A435,$D$2:$D$601,D435)&gt;9,"Más de 9 h en el día. ","")&amp;IF(AND(B435&lt;&gt;"",C435&lt;&gt;"",C435&lt;B435),"Cruza la medianoche. ","")&amp;IF(LEN(TRIM(F435))&lt;15,"Sin descripción suficiente. ","")&amp;IF(AND(ISERROR(SEARCH("R-0",F435)),ISERROR(SEARCH("CU-",F435))),"Sin ticket. ","")&amp;IF(ISNA(MATCH(E435,Datos!$E$8:$E$22,0)),"Proyecto sin valor hora. ","")&amp;IF(ISNA(MATCH(D435,Datos!$A$8:$A$22,0)),"Persona fuera del equipo. ","")))</f>
        <v/>
      </c>
      <c r="I435" s="21" t="n"/>
      <c r="J435" s="22" t="n"/>
      <c r="K435" s="23">
        <f>IF(G435="","",IF(J435&lt;&gt;"",MIN(J435,G435),IF(OR(I435="Observada",I435="Rechazada"),0,G435)))</f>
        <v/>
      </c>
      <c r="L435" s="24" t="n"/>
      <c r="M435" s="25">
        <f>IF(OR(A435="",D435=""),0,IF(COUNTIFS($A$2:A435,A435,$D$2:D435,D435)=1,1,0))</f>
        <v/>
      </c>
    </row>
    <row r="436">
      <c r="A436" s="26" t="n"/>
      <c r="B436" s="27" t="n"/>
      <c r="C436" s="27" t="n"/>
      <c r="D436" s="28" t="n"/>
      <c r="E436" s="28" t="n"/>
      <c r="F436" s="29" t="n"/>
      <c r="G436" s="30" t="n"/>
      <c r="H436" s="20">
        <f>IF(A436="","",TRIM(IF(WEEKDAY(A436,2)&gt;5,"Fin de semana. ","")&amp;IF(SUMIFS($G$2:$G$601,$A$2:$A$601,A436,$D$2:$D$601,D436)&gt;9,"Más de 9 h en el día. ","")&amp;IF(AND(B436&lt;&gt;"",C436&lt;&gt;"",C436&lt;B436),"Cruza la medianoche. ","")&amp;IF(LEN(TRIM(F436))&lt;15,"Sin descripción suficiente. ","")&amp;IF(AND(ISERROR(SEARCH("R-0",F436)),ISERROR(SEARCH("CU-",F436))),"Sin ticket. ","")&amp;IF(ISNA(MATCH(E436,Datos!$E$8:$E$22,0)),"Proyecto sin valor hora. ","")&amp;IF(ISNA(MATCH(D436,Datos!$A$8:$A$22,0)),"Persona fuera del equipo. ","")))</f>
        <v/>
      </c>
      <c r="I436" s="21" t="n"/>
      <c r="J436" s="22" t="n"/>
      <c r="K436" s="23">
        <f>IF(G436="","",IF(J436&lt;&gt;"",MIN(J436,G436),IF(OR(I436="Observada",I436="Rechazada"),0,G436)))</f>
        <v/>
      </c>
      <c r="L436" s="24" t="n"/>
      <c r="M436" s="25">
        <f>IF(OR(A436="",D436=""),0,IF(COUNTIFS($A$2:A436,A436,$D$2:D436,D436)=1,1,0))</f>
        <v/>
      </c>
    </row>
    <row r="437">
      <c r="A437" s="26" t="n"/>
      <c r="B437" s="27" t="n"/>
      <c r="C437" s="27" t="n"/>
      <c r="D437" s="28" t="n"/>
      <c r="E437" s="28" t="n"/>
      <c r="F437" s="29" t="n"/>
      <c r="G437" s="30" t="n"/>
      <c r="H437" s="20">
        <f>IF(A437="","",TRIM(IF(WEEKDAY(A437,2)&gt;5,"Fin de semana. ","")&amp;IF(SUMIFS($G$2:$G$601,$A$2:$A$601,A437,$D$2:$D$601,D437)&gt;9,"Más de 9 h en el día. ","")&amp;IF(AND(B437&lt;&gt;"",C437&lt;&gt;"",C437&lt;B437),"Cruza la medianoche. ","")&amp;IF(LEN(TRIM(F437))&lt;15,"Sin descripción suficiente. ","")&amp;IF(AND(ISERROR(SEARCH("R-0",F437)),ISERROR(SEARCH("CU-",F437))),"Sin ticket. ","")&amp;IF(ISNA(MATCH(E437,Datos!$E$8:$E$22,0)),"Proyecto sin valor hora. ","")&amp;IF(ISNA(MATCH(D437,Datos!$A$8:$A$22,0)),"Persona fuera del equipo. ","")))</f>
        <v/>
      </c>
      <c r="I437" s="21" t="n"/>
      <c r="J437" s="22" t="n"/>
      <c r="K437" s="23">
        <f>IF(G437="","",IF(J437&lt;&gt;"",MIN(J437,G437),IF(OR(I437="Observada",I437="Rechazada"),0,G437)))</f>
        <v/>
      </c>
      <c r="L437" s="24" t="n"/>
      <c r="M437" s="25">
        <f>IF(OR(A437="",D437=""),0,IF(COUNTIFS($A$2:A437,A437,$D$2:D437,D437)=1,1,0))</f>
        <v/>
      </c>
    </row>
    <row r="438">
      <c r="A438" s="26" t="n"/>
      <c r="B438" s="27" t="n"/>
      <c r="C438" s="27" t="n"/>
      <c r="D438" s="28" t="n"/>
      <c r="E438" s="28" t="n"/>
      <c r="F438" s="29" t="n"/>
      <c r="G438" s="30" t="n"/>
      <c r="H438" s="20">
        <f>IF(A438="","",TRIM(IF(WEEKDAY(A438,2)&gt;5,"Fin de semana. ","")&amp;IF(SUMIFS($G$2:$G$601,$A$2:$A$601,A438,$D$2:$D$601,D438)&gt;9,"Más de 9 h en el día. ","")&amp;IF(AND(B438&lt;&gt;"",C438&lt;&gt;"",C438&lt;B438),"Cruza la medianoche. ","")&amp;IF(LEN(TRIM(F438))&lt;15,"Sin descripción suficiente. ","")&amp;IF(AND(ISERROR(SEARCH("R-0",F438)),ISERROR(SEARCH("CU-",F438))),"Sin ticket. ","")&amp;IF(ISNA(MATCH(E438,Datos!$E$8:$E$22,0)),"Proyecto sin valor hora. ","")&amp;IF(ISNA(MATCH(D438,Datos!$A$8:$A$22,0)),"Persona fuera del equipo. ","")))</f>
        <v/>
      </c>
      <c r="I438" s="21" t="n"/>
      <c r="J438" s="22" t="n"/>
      <c r="K438" s="23">
        <f>IF(G438="","",IF(J438&lt;&gt;"",MIN(J438,G438),IF(OR(I438="Observada",I438="Rechazada"),0,G438)))</f>
        <v/>
      </c>
      <c r="L438" s="24" t="n"/>
      <c r="M438" s="25">
        <f>IF(OR(A438="",D438=""),0,IF(COUNTIFS($A$2:A438,A438,$D$2:D438,D438)=1,1,0))</f>
        <v/>
      </c>
    </row>
    <row r="439">
      <c r="A439" s="26" t="n"/>
      <c r="B439" s="27" t="n"/>
      <c r="C439" s="27" t="n"/>
      <c r="D439" s="28" t="n"/>
      <c r="E439" s="28" t="n"/>
      <c r="F439" s="29" t="n"/>
      <c r="G439" s="30" t="n"/>
      <c r="H439" s="20">
        <f>IF(A439="","",TRIM(IF(WEEKDAY(A439,2)&gt;5,"Fin de semana. ","")&amp;IF(SUMIFS($G$2:$G$601,$A$2:$A$601,A439,$D$2:$D$601,D439)&gt;9,"Más de 9 h en el día. ","")&amp;IF(AND(B439&lt;&gt;"",C439&lt;&gt;"",C439&lt;B439),"Cruza la medianoche. ","")&amp;IF(LEN(TRIM(F439))&lt;15,"Sin descripción suficiente. ","")&amp;IF(AND(ISERROR(SEARCH("R-0",F439)),ISERROR(SEARCH("CU-",F439))),"Sin ticket. ","")&amp;IF(ISNA(MATCH(E439,Datos!$E$8:$E$22,0)),"Proyecto sin valor hora. ","")&amp;IF(ISNA(MATCH(D439,Datos!$A$8:$A$22,0)),"Persona fuera del equipo. ","")))</f>
        <v/>
      </c>
      <c r="I439" s="21" t="n"/>
      <c r="J439" s="22" t="n"/>
      <c r="K439" s="23">
        <f>IF(G439="","",IF(J439&lt;&gt;"",MIN(J439,G439),IF(OR(I439="Observada",I439="Rechazada"),0,G439)))</f>
        <v/>
      </c>
      <c r="L439" s="24" t="n"/>
      <c r="M439" s="25">
        <f>IF(OR(A439="",D439=""),0,IF(COUNTIFS($A$2:A439,A439,$D$2:D439,D439)=1,1,0))</f>
        <v/>
      </c>
    </row>
    <row r="440">
      <c r="A440" s="26" t="n"/>
      <c r="B440" s="27" t="n"/>
      <c r="C440" s="27" t="n"/>
      <c r="D440" s="28" t="n"/>
      <c r="E440" s="28" t="n"/>
      <c r="F440" s="29" t="n"/>
      <c r="G440" s="30" t="n"/>
      <c r="H440" s="20">
        <f>IF(A440="","",TRIM(IF(WEEKDAY(A440,2)&gt;5,"Fin de semana. ","")&amp;IF(SUMIFS($G$2:$G$601,$A$2:$A$601,A440,$D$2:$D$601,D440)&gt;9,"Más de 9 h en el día. ","")&amp;IF(AND(B440&lt;&gt;"",C440&lt;&gt;"",C440&lt;B440),"Cruza la medianoche. ","")&amp;IF(LEN(TRIM(F440))&lt;15,"Sin descripción suficiente. ","")&amp;IF(AND(ISERROR(SEARCH("R-0",F440)),ISERROR(SEARCH("CU-",F440))),"Sin ticket. ","")&amp;IF(ISNA(MATCH(E440,Datos!$E$8:$E$22,0)),"Proyecto sin valor hora. ","")&amp;IF(ISNA(MATCH(D440,Datos!$A$8:$A$22,0)),"Persona fuera del equipo. ","")))</f>
        <v/>
      </c>
      <c r="I440" s="21" t="n"/>
      <c r="J440" s="22" t="n"/>
      <c r="K440" s="23">
        <f>IF(G440="","",IF(J440&lt;&gt;"",MIN(J440,G440),IF(OR(I440="Observada",I440="Rechazada"),0,G440)))</f>
        <v/>
      </c>
      <c r="L440" s="24" t="n"/>
      <c r="M440" s="25">
        <f>IF(OR(A440="",D440=""),0,IF(COUNTIFS($A$2:A440,A440,$D$2:D440,D440)=1,1,0))</f>
        <v/>
      </c>
    </row>
    <row r="441">
      <c r="A441" s="26" t="n"/>
      <c r="B441" s="27" t="n"/>
      <c r="C441" s="27" t="n"/>
      <c r="D441" s="28" t="n"/>
      <c r="E441" s="28" t="n"/>
      <c r="F441" s="29" t="n"/>
      <c r="G441" s="30" t="n"/>
      <c r="H441" s="20">
        <f>IF(A441="","",TRIM(IF(WEEKDAY(A441,2)&gt;5,"Fin de semana. ","")&amp;IF(SUMIFS($G$2:$G$601,$A$2:$A$601,A441,$D$2:$D$601,D441)&gt;9,"Más de 9 h en el día. ","")&amp;IF(AND(B441&lt;&gt;"",C441&lt;&gt;"",C441&lt;B441),"Cruza la medianoche. ","")&amp;IF(LEN(TRIM(F441))&lt;15,"Sin descripción suficiente. ","")&amp;IF(AND(ISERROR(SEARCH("R-0",F441)),ISERROR(SEARCH("CU-",F441))),"Sin ticket. ","")&amp;IF(ISNA(MATCH(E441,Datos!$E$8:$E$22,0)),"Proyecto sin valor hora. ","")&amp;IF(ISNA(MATCH(D441,Datos!$A$8:$A$22,0)),"Persona fuera del equipo. ","")))</f>
        <v/>
      </c>
      <c r="I441" s="21" t="n"/>
      <c r="J441" s="22" t="n"/>
      <c r="K441" s="23">
        <f>IF(G441="","",IF(J441&lt;&gt;"",MIN(J441,G441),IF(OR(I441="Observada",I441="Rechazada"),0,G441)))</f>
        <v/>
      </c>
      <c r="L441" s="24" t="n"/>
      <c r="M441" s="25">
        <f>IF(OR(A441="",D441=""),0,IF(COUNTIFS($A$2:A441,A441,$D$2:D441,D441)=1,1,0))</f>
        <v/>
      </c>
    </row>
    <row r="442">
      <c r="A442" s="26" t="n"/>
      <c r="B442" s="27" t="n"/>
      <c r="C442" s="27" t="n"/>
      <c r="D442" s="28" t="n"/>
      <c r="E442" s="28" t="n"/>
      <c r="F442" s="29" t="n"/>
      <c r="G442" s="30" t="n"/>
      <c r="H442" s="20">
        <f>IF(A442="","",TRIM(IF(WEEKDAY(A442,2)&gt;5,"Fin de semana. ","")&amp;IF(SUMIFS($G$2:$G$601,$A$2:$A$601,A442,$D$2:$D$601,D442)&gt;9,"Más de 9 h en el día. ","")&amp;IF(AND(B442&lt;&gt;"",C442&lt;&gt;"",C442&lt;B442),"Cruza la medianoche. ","")&amp;IF(LEN(TRIM(F442))&lt;15,"Sin descripción suficiente. ","")&amp;IF(AND(ISERROR(SEARCH("R-0",F442)),ISERROR(SEARCH("CU-",F442))),"Sin ticket. ","")&amp;IF(ISNA(MATCH(E442,Datos!$E$8:$E$22,0)),"Proyecto sin valor hora. ","")&amp;IF(ISNA(MATCH(D442,Datos!$A$8:$A$22,0)),"Persona fuera del equipo. ","")))</f>
        <v/>
      </c>
      <c r="I442" s="21" t="n"/>
      <c r="J442" s="22" t="n"/>
      <c r="K442" s="23">
        <f>IF(G442="","",IF(J442&lt;&gt;"",MIN(J442,G442),IF(OR(I442="Observada",I442="Rechazada"),0,G442)))</f>
        <v/>
      </c>
      <c r="L442" s="24" t="n"/>
      <c r="M442" s="25">
        <f>IF(OR(A442="",D442=""),0,IF(COUNTIFS($A$2:A442,A442,$D$2:D442,D442)=1,1,0))</f>
        <v/>
      </c>
    </row>
    <row r="443">
      <c r="A443" s="26" t="n"/>
      <c r="B443" s="27" t="n"/>
      <c r="C443" s="27" t="n"/>
      <c r="D443" s="28" t="n"/>
      <c r="E443" s="28" t="n"/>
      <c r="F443" s="29" t="n"/>
      <c r="G443" s="30" t="n"/>
      <c r="H443" s="20">
        <f>IF(A443="","",TRIM(IF(WEEKDAY(A443,2)&gt;5,"Fin de semana. ","")&amp;IF(SUMIFS($G$2:$G$601,$A$2:$A$601,A443,$D$2:$D$601,D443)&gt;9,"Más de 9 h en el día. ","")&amp;IF(AND(B443&lt;&gt;"",C443&lt;&gt;"",C443&lt;B443),"Cruza la medianoche. ","")&amp;IF(LEN(TRIM(F443))&lt;15,"Sin descripción suficiente. ","")&amp;IF(AND(ISERROR(SEARCH("R-0",F443)),ISERROR(SEARCH("CU-",F443))),"Sin ticket. ","")&amp;IF(ISNA(MATCH(E443,Datos!$E$8:$E$22,0)),"Proyecto sin valor hora. ","")&amp;IF(ISNA(MATCH(D443,Datos!$A$8:$A$22,0)),"Persona fuera del equipo. ","")))</f>
        <v/>
      </c>
      <c r="I443" s="21" t="n"/>
      <c r="J443" s="22" t="n"/>
      <c r="K443" s="23">
        <f>IF(G443="","",IF(J443&lt;&gt;"",MIN(J443,G443),IF(OR(I443="Observada",I443="Rechazada"),0,G443)))</f>
        <v/>
      </c>
      <c r="L443" s="24" t="n"/>
      <c r="M443" s="25">
        <f>IF(OR(A443="",D443=""),0,IF(COUNTIFS($A$2:A443,A443,$D$2:D443,D443)=1,1,0))</f>
        <v/>
      </c>
    </row>
    <row r="444">
      <c r="A444" s="26" t="n"/>
      <c r="B444" s="27" t="n"/>
      <c r="C444" s="27" t="n"/>
      <c r="D444" s="28" t="n"/>
      <c r="E444" s="28" t="n"/>
      <c r="F444" s="29" t="n"/>
      <c r="G444" s="30" t="n"/>
      <c r="H444" s="20">
        <f>IF(A444="","",TRIM(IF(WEEKDAY(A444,2)&gt;5,"Fin de semana. ","")&amp;IF(SUMIFS($G$2:$G$601,$A$2:$A$601,A444,$D$2:$D$601,D444)&gt;9,"Más de 9 h en el día. ","")&amp;IF(AND(B444&lt;&gt;"",C444&lt;&gt;"",C444&lt;B444),"Cruza la medianoche. ","")&amp;IF(LEN(TRIM(F444))&lt;15,"Sin descripción suficiente. ","")&amp;IF(AND(ISERROR(SEARCH("R-0",F444)),ISERROR(SEARCH("CU-",F444))),"Sin ticket. ","")&amp;IF(ISNA(MATCH(E444,Datos!$E$8:$E$22,0)),"Proyecto sin valor hora. ","")&amp;IF(ISNA(MATCH(D444,Datos!$A$8:$A$22,0)),"Persona fuera del equipo. ","")))</f>
        <v/>
      </c>
      <c r="I444" s="21" t="n"/>
      <c r="J444" s="22" t="n"/>
      <c r="K444" s="23">
        <f>IF(G444="","",IF(J444&lt;&gt;"",MIN(J444,G444),IF(OR(I444="Observada",I444="Rechazada"),0,G444)))</f>
        <v/>
      </c>
      <c r="L444" s="24" t="n"/>
      <c r="M444" s="25">
        <f>IF(OR(A444="",D444=""),0,IF(COUNTIFS($A$2:A444,A444,$D$2:D444,D444)=1,1,0))</f>
        <v/>
      </c>
    </row>
    <row r="445">
      <c r="A445" s="26" t="n"/>
      <c r="B445" s="27" t="n"/>
      <c r="C445" s="27" t="n"/>
      <c r="D445" s="28" t="n"/>
      <c r="E445" s="28" t="n"/>
      <c r="F445" s="29" t="n"/>
      <c r="G445" s="30" t="n"/>
      <c r="H445" s="20">
        <f>IF(A445="","",TRIM(IF(WEEKDAY(A445,2)&gt;5,"Fin de semana. ","")&amp;IF(SUMIFS($G$2:$G$601,$A$2:$A$601,A445,$D$2:$D$601,D445)&gt;9,"Más de 9 h en el día. ","")&amp;IF(AND(B445&lt;&gt;"",C445&lt;&gt;"",C445&lt;B445),"Cruza la medianoche. ","")&amp;IF(LEN(TRIM(F445))&lt;15,"Sin descripción suficiente. ","")&amp;IF(AND(ISERROR(SEARCH("R-0",F445)),ISERROR(SEARCH("CU-",F445))),"Sin ticket. ","")&amp;IF(ISNA(MATCH(E445,Datos!$E$8:$E$22,0)),"Proyecto sin valor hora. ","")&amp;IF(ISNA(MATCH(D445,Datos!$A$8:$A$22,0)),"Persona fuera del equipo. ","")))</f>
        <v/>
      </c>
      <c r="I445" s="21" t="n"/>
      <c r="J445" s="22" t="n"/>
      <c r="K445" s="23">
        <f>IF(G445="","",IF(J445&lt;&gt;"",MIN(J445,G445),IF(OR(I445="Observada",I445="Rechazada"),0,G445)))</f>
        <v/>
      </c>
      <c r="L445" s="24" t="n"/>
      <c r="M445" s="25">
        <f>IF(OR(A445="",D445=""),0,IF(COUNTIFS($A$2:A445,A445,$D$2:D445,D445)=1,1,0))</f>
        <v/>
      </c>
    </row>
    <row r="446">
      <c r="A446" s="26" t="n"/>
      <c r="B446" s="27" t="n"/>
      <c r="C446" s="27" t="n"/>
      <c r="D446" s="28" t="n"/>
      <c r="E446" s="28" t="n"/>
      <c r="F446" s="29" t="n"/>
      <c r="G446" s="30" t="n"/>
      <c r="H446" s="20">
        <f>IF(A446="","",TRIM(IF(WEEKDAY(A446,2)&gt;5,"Fin de semana. ","")&amp;IF(SUMIFS($G$2:$G$601,$A$2:$A$601,A446,$D$2:$D$601,D446)&gt;9,"Más de 9 h en el día. ","")&amp;IF(AND(B446&lt;&gt;"",C446&lt;&gt;"",C446&lt;B446),"Cruza la medianoche. ","")&amp;IF(LEN(TRIM(F446))&lt;15,"Sin descripción suficiente. ","")&amp;IF(AND(ISERROR(SEARCH("R-0",F446)),ISERROR(SEARCH("CU-",F446))),"Sin ticket. ","")&amp;IF(ISNA(MATCH(E446,Datos!$E$8:$E$22,0)),"Proyecto sin valor hora. ","")&amp;IF(ISNA(MATCH(D446,Datos!$A$8:$A$22,0)),"Persona fuera del equipo. ","")))</f>
        <v/>
      </c>
      <c r="I446" s="21" t="n"/>
      <c r="J446" s="22" t="n"/>
      <c r="K446" s="23">
        <f>IF(G446="","",IF(J446&lt;&gt;"",MIN(J446,G446),IF(OR(I446="Observada",I446="Rechazada"),0,G446)))</f>
        <v/>
      </c>
      <c r="L446" s="24" t="n"/>
      <c r="M446" s="25">
        <f>IF(OR(A446="",D446=""),0,IF(COUNTIFS($A$2:A446,A446,$D$2:D446,D446)=1,1,0))</f>
        <v/>
      </c>
    </row>
    <row r="447">
      <c r="A447" s="26" t="n"/>
      <c r="B447" s="27" t="n"/>
      <c r="C447" s="27" t="n"/>
      <c r="D447" s="28" t="n"/>
      <c r="E447" s="28" t="n"/>
      <c r="F447" s="29" t="n"/>
      <c r="G447" s="30" t="n"/>
      <c r="H447" s="20">
        <f>IF(A447="","",TRIM(IF(WEEKDAY(A447,2)&gt;5,"Fin de semana. ","")&amp;IF(SUMIFS($G$2:$G$601,$A$2:$A$601,A447,$D$2:$D$601,D447)&gt;9,"Más de 9 h en el día. ","")&amp;IF(AND(B447&lt;&gt;"",C447&lt;&gt;"",C447&lt;B447),"Cruza la medianoche. ","")&amp;IF(LEN(TRIM(F447))&lt;15,"Sin descripción suficiente. ","")&amp;IF(AND(ISERROR(SEARCH("R-0",F447)),ISERROR(SEARCH("CU-",F447))),"Sin ticket. ","")&amp;IF(ISNA(MATCH(E447,Datos!$E$8:$E$22,0)),"Proyecto sin valor hora. ","")&amp;IF(ISNA(MATCH(D447,Datos!$A$8:$A$22,0)),"Persona fuera del equipo. ","")))</f>
        <v/>
      </c>
      <c r="I447" s="21" t="n"/>
      <c r="J447" s="22" t="n"/>
      <c r="K447" s="23">
        <f>IF(G447="","",IF(J447&lt;&gt;"",MIN(J447,G447),IF(OR(I447="Observada",I447="Rechazada"),0,G447)))</f>
        <v/>
      </c>
      <c r="L447" s="24" t="n"/>
      <c r="M447" s="25">
        <f>IF(OR(A447="",D447=""),0,IF(COUNTIFS($A$2:A447,A447,$D$2:D447,D447)=1,1,0))</f>
        <v/>
      </c>
    </row>
    <row r="448">
      <c r="A448" s="26" t="n"/>
      <c r="B448" s="27" t="n"/>
      <c r="C448" s="27" t="n"/>
      <c r="D448" s="28" t="n"/>
      <c r="E448" s="28" t="n"/>
      <c r="F448" s="29" t="n"/>
      <c r="G448" s="30" t="n"/>
      <c r="H448" s="20">
        <f>IF(A448="","",TRIM(IF(WEEKDAY(A448,2)&gt;5,"Fin de semana. ","")&amp;IF(SUMIFS($G$2:$G$601,$A$2:$A$601,A448,$D$2:$D$601,D448)&gt;9,"Más de 9 h en el día. ","")&amp;IF(AND(B448&lt;&gt;"",C448&lt;&gt;"",C448&lt;B448),"Cruza la medianoche. ","")&amp;IF(LEN(TRIM(F448))&lt;15,"Sin descripción suficiente. ","")&amp;IF(AND(ISERROR(SEARCH("R-0",F448)),ISERROR(SEARCH("CU-",F448))),"Sin ticket. ","")&amp;IF(ISNA(MATCH(E448,Datos!$E$8:$E$22,0)),"Proyecto sin valor hora. ","")&amp;IF(ISNA(MATCH(D448,Datos!$A$8:$A$22,0)),"Persona fuera del equipo. ","")))</f>
        <v/>
      </c>
      <c r="I448" s="21" t="n"/>
      <c r="J448" s="22" t="n"/>
      <c r="K448" s="23">
        <f>IF(G448="","",IF(J448&lt;&gt;"",MIN(J448,G448),IF(OR(I448="Observada",I448="Rechazada"),0,G448)))</f>
        <v/>
      </c>
      <c r="L448" s="24" t="n"/>
      <c r="M448" s="25">
        <f>IF(OR(A448="",D448=""),0,IF(COUNTIFS($A$2:A448,A448,$D$2:D448,D448)=1,1,0))</f>
        <v/>
      </c>
    </row>
    <row r="449">
      <c r="A449" s="26" t="n"/>
      <c r="B449" s="27" t="n"/>
      <c r="C449" s="27" t="n"/>
      <c r="D449" s="28" t="n"/>
      <c r="E449" s="28" t="n"/>
      <c r="F449" s="29" t="n"/>
      <c r="G449" s="30" t="n"/>
      <c r="H449" s="20">
        <f>IF(A449="","",TRIM(IF(WEEKDAY(A449,2)&gt;5,"Fin de semana. ","")&amp;IF(SUMIFS($G$2:$G$601,$A$2:$A$601,A449,$D$2:$D$601,D449)&gt;9,"Más de 9 h en el día. ","")&amp;IF(AND(B449&lt;&gt;"",C449&lt;&gt;"",C449&lt;B449),"Cruza la medianoche. ","")&amp;IF(LEN(TRIM(F449))&lt;15,"Sin descripción suficiente. ","")&amp;IF(AND(ISERROR(SEARCH("R-0",F449)),ISERROR(SEARCH("CU-",F449))),"Sin ticket. ","")&amp;IF(ISNA(MATCH(E449,Datos!$E$8:$E$22,0)),"Proyecto sin valor hora. ","")&amp;IF(ISNA(MATCH(D449,Datos!$A$8:$A$22,0)),"Persona fuera del equipo. ","")))</f>
        <v/>
      </c>
      <c r="I449" s="21" t="n"/>
      <c r="J449" s="22" t="n"/>
      <c r="K449" s="23">
        <f>IF(G449="","",IF(J449&lt;&gt;"",MIN(J449,G449),IF(OR(I449="Observada",I449="Rechazada"),0,G449)))</f>
        <v/>
      </c>
      <c r="L449" s="24" t="n"/>
      <c r="M449" s="25">
        <f>IF(OR(A449="",D449=""),0,IF(COUNTIFS($A$2:A449,A449,$D$2:D449,D449)=1,1,0))</f>
        <v/>
      </c>
    </row>
    <row r="450">
      <c r="A450" s="26" t="n"/>
      <c r="B450" s="27" t="n"/>
      <c r="C450" s="27" t="n"/>
      <c r="D450" s="28" t="n"/>
      <c r="E450" s="28" t="n"/>
      <c r="F450" s="29" t="n"/>
      <c r="G450" s="30" t="n"/>
      <c r="H450" s="20">
        <f>IF(A450="","",TRIM(IF(WEEKDAY(A450,2)&gt;5,"Fin de semana. ","")&amp;IF(SUMIFS($G$2:$G$601,$A$2:$A$601,A450,$D$2:$D$601,D450)&gt;9,"Más de 9 h en el día. ","")&amp;IF(AND(B450&lt;&gt;"",C450&lt;&gt;"",C450&lt;B450),"Cruza la medianoche. ","")&amp;IF(LEN(TRIM(F450))&lt;15,"Sin descripción suficiente. ","")&amp;IF(AND(ISERROR(SEARCH("R-0",F450)),ISERROR(SEARCH("CU-",F450))),"Sin ticket. ","")&amp;IF(ISNA(MATCH(E450,Datos!$E$8:$E$22,0)),"Proyecto sin valor hora. ","")&amp;IF(ISNA(MATCH(D450,Datos!$A$8:$A$22,0)),"Persona fuera del equipo. ","")))</f>
        <v/>
      </c>
      <c r="I450" s="21" t="n"/>
      <c r="J450" s="22" t="n"/>
      <c r="K450" s="23">
        <f>IF(G450="","",IF(J450&lt;&gt;"",MIN(J450,G450),IF(OR(I450="Observada",I450="Rechazada"),0,G450)))</f>
        <v/>
      </c>
      <c r="L450" s="24" t="n"/>
      <c r="M450" s="25">
        <f>IF(OR(A450="",D450=""),0,IF(COUNTIFS($A$2:A450,A450,$D$2:D450,D450)=1,1,0))</f>
        <v/>
      </c>
    </row>
    <row r="451">
      <c r="A451" s="26" t="n"/>
      <c r="B451" s="27" t="n"/>
      <c r="C451" s="27" t="n"/>
      <c r="D451" s="28" t="n"/>
      <c r="E451" s="28" t="n"/>
      <c r="F451" s="29" t="n"/>
      <c r="G451" s="30" t="n"/>
      <c r="H451" s="20">
        <f>IF(A451="","",TRIM(IF(WEEKDAY(A451,2)&gt;5,"Fin de semana. ","")&amp;IF(SUMIFS($G$2:$G$601,$A$2:$A$601,A451,$D$2:$D$601,D451)&gt;9,"Más de 9 h en el día. ","")&amp;IF(AND(B451&lt;&gt;"",C451&lt;&gt;"",C451&lt;B451),"Cruza la medianoche. ","")&amp;IF(LEN(TRIM(F451))&lt;15,"Sin descripción suficiente. ","")&amp;IF(AND(ISERROR(SEARCH("R-0",F451)),ISERROR(SEARCH("CU-",F451))),"Sin ticket. ","")&amp;IF(ISNA(MATCH(E451,Datos!$E$8:$E$22,0)),"Proyecto sin valor hora. ","")&amp;IF(ISNA(MATCH(D451,Datos!$A$8:$A$22,0)),"Persona fuera del equipo. ","")))</f>
        <v/>
      </c>
      <c r="I451" s="21" t="n"/>
      <c r="J451" s="22" t="n"/>
      <c r="K451" s="23">
        <f>IF(G451="","",IF(J451&lt;&gt;"",MIN(J451,G451),IF(OR(I451="Observada",I451="Rechazada"),0,G451)))</f>
        <v/>
      </c>
      <c r="L451" s="24" t="n"/>
      <c r="M451" s="25">
        <f>IF(OR(A451="",D451=""),0,IF(COUNTIFS($A$2:A451,A451,$D$2:D451,D451)=1,1,0))</f>
        <v/>
      </c>
    </row>
    <row r="452">
      <c r="A452" s="26" t="n"/>
      <c r="B452" s="27" t="n"/>
      <c r="C452" s="27" t="n"/>
      <c r="D452" s="28" t="n"/>
      <c r="E452" s="28" t="n"/>
      <c r="F452" s="29" t="n"/>
      <c r="G452" s="30" t="n"/>
      <c r="H452" s="20">
        <f>IF(A452="","",TRIM(IF(WEEKDAY(A452,2)&gt;5,"Fin de semana. ","")&amp;IF(SUMIFS($G$2:$G$601,$A$2:$A$601,A452,$D$2:$D$601,D452)&gt;9,"Más de 9 h en el día. ","")&amp;IF(AND(B452&lt;&gt;"",C452&lt;&gt;"",C452&lt;B452),"Cruza la medianoche. ","")&amp;IF(LEN(TRIM(F452))&lt;15,"Sin descripción suficiente. ","")&amp;IF(AND(ISERROR(SEARCH("R-0",F452)),ISERROR(SEARCH("CU-",F452))),"Sin ticket. ","")&amp;IF(ISNA(MATCH(E452,Datos!$E$8:$E$22,0)),"Proyecto sin valor hora. ","")&amp;IF(ISNA(MATCH(D452,Datos!$A$8:$A$22,0)),"Persona fuera del equipo. ","")))</f>
        <v/>
      </c>
      <c r="I452" s="21" t="n"/>
      <c r="J452" s="22" t="n"/>
      <c r="K452" s="23">
        <f>IF(G452="","",IF(J452&lt;&gt;"",MIN(J452,G452),IF(OR(I452="Observada",I452="Rechazada"),0,G452)))</f>
        <v/>
      </c>
      <c r="L452" s="24" t="n"/>
      <c r="M452" s="25">
        <f>IF(OR(A452="",D452=""),0,IF(COUNTIFS($A$2:A452,A452,$D$2:D452,D452)=1,1,0))</f>
        <v/>
      </c>
    </row>
    <row r="453">
      <c r="A453" s="26" t="n"/>
      <c r="B453" s="27" t="n"/>
      <c r="C453" s="27" t="n"/>
      <c r="D453" s="28" t="n"/>
      <c r="E453" s="28" t="n"/>
      <c r="F453" s="29" t="n"/>
      <c r="G453" s="30" t="n"/>
      <c r="H453" s="20">
        <f>IF(A453="","",TRIM(IF(WEEKDAY(A453,2)&gt;5,"Fin de semana. ","")&amp;IF(SUMIFS($G$2:$G$601,$A$2:$A$601,A453,$D$2:$D$601,D453)&gt;9,"Más de 9 h en el día. ","")&amp;IF(AND(B453&lt;&gt;"",C453&lt;&gt;"",C453&lt;B453),"Cruza la medianoche. ","")&amp;IF(LEN(TRIM(F453))&lt;15,"Sin descripción suficiente. ","")&amp;IF(AND(ISERROR(SEARCH("R-0",F453)),ISERROR(SEARCH("CU-",F453))),"Sin ticket. ","")&amp;IF(ISNA(MATCH(E453,Datos!$E$8:$E$22,0)),"Proyecto sin valor hora. ","")&amp;IF(ISNA(MATCH(D453,Datos!$A$8:$A$22,0)),"Persona fuera del equipo. ","")))</f>
        <v/>
      </c>
      <c r="I453" s="21" t="n"/>
      <c r="J453" s="22" t="n"/>
      <c r="K453" s="23">
        <f>IF(G453="","",IF(J453&lt;&gt;"",MIN(J453,G453),IF(OR(I453="Observada",I453="Rechazada"),0,G453)))</f>
        <v/>
      </c>
      <c r="L453" s="24" t="n"/>
      <c r="M453" s="25">
        <f>IF(OR(A453="",D453=""),0,IF(COUNTIFS($A$2:A453,A453,$D$2:D453,D453)=1,1,0))</f>
        <v/>
      </c>
    </row>
    <row r="454">
      <c r="A454" s="26" t="n"/>
      <c r="B454" s="27" t="n"/>
      <c r="C454" s="27" t="n"/>
      <c r="D454" s="28" t="n"/>
      <c r="E454" s="28" t="n"/>
      <c r="F454" s="29" t="n"/>
      <c r="G454" s="30" t="n"/>
      <c r="H454" s="20">
        <f>IF(A454="","",TRIM(IF(WEEKDAY(A454,2)&gt;5,"Fin de semana. ","")&amp;IF(SUMIFS($G$2:$G$601,$A$2:$A$601,A454,$D$2:$D$601,D454)&gt;9,"Más de 9 h en el día. ","")&amp;IF(AND(B454&lt;&gt;"",C454&lt;&gt;"",C454&lt;B454),"Cruza la medianoche. ","")&amp;IF(LEN(TRIM(F454))&lt;15,"Sin descripción suficiente. ","")&amp;IF(AND(ISERROR(SEARCH("R-0",F454)),ISERROR(SEARCH("CU-",F454))),"Sin ticket. ","")&amp;IF(ISNA(MATCH(E454,Datos!$E$8:$E$22,0)),"Proyecto sin valor hora. ","")&amp;IF(ISNA(MATCH(D454,Datos!$A$8:$A$22,0)),"Persona fuera del equipo. ","")))</f>
        <v/>
      </c>
      <c r="I454" s="21" t="n"/>
      <c r="J454" s="22" t="n"/>
      <c r="K454" s="23">
        <f>IF(G454="","",IF(J454&lt;&gt;"",MIN(J454,G454),IF(OR(I454="Observada",I454="Rechazada"),0,G454)))</f>
        <v/>
      </c>
      <c r="L454" s="24" t="n"/>
      <c r="M454" s="25">
        <f>IF(OR(A454="",D454=""),0,IF(COUNTIFS($A$2:A454,A454,$D$2:D454,D454)=1,1,0))</f>
        <v/>
      </c>
    </row>
    <row r="455">
      <c r="A455" s="26" t="n"/>
      <c r="B455" s="27" t="n"/>
      <c r="C455" s="27" t="n"/>
      <c r="D455" s="28" t="n"/>
      <c r="E455" s="28" t="n"/>
      <c r="F455" s="29" t="n"/>
      <c r="G455" s="30" t="n"/>
      <c r="H455" s="20">
        <f>IF(A455="","",TRIM(IF(WEEKDAY(A455,2)&gt;5,"Fin de semana. ","")&amp;IF(SUMIFS($G$2:$G$601,$A$2:$A$601,A455,$D$2:$D$601,D455)&gt;9,"Más de 9 h en el día. ","")&amp;IF(AND(B455&lt;&gt;"",C455&lt;&gt;"",C455&lt;B455),"Cruza la medianoche. ","")&amp;IF(LEN(TRIM(F455))&lt;15,"Sin descripción suficiente. ","")&amp;IF(AND(ISERROR(SEARCH("R-0",F455)),ISERROR(SEARCH("CU-",F455))),"Sin ticket. ","")&amp;IF(ISNA(MATCH(E455,Datos!$E$8:$E$22,0)),"Proyecto sin valor hora. ","")&amp;IF(ISNA(MATCH(D455,Datos!$A$8:$A$22,0)),"Persona fuera del equipo. ","")))</f>
        <v/>
      </c>
      <c r="I455" s="21" t="n"/>
      <c r="J455" s="22" t="n"/>
      <c r="K455" s="23">
        <f>IF(G455="","",IF(J455&lt;&gt;"",MIN(J455,G455),IF(OR(I455="Observada",I455="Rechazada"),0,G455)))</f>
        <v/>
      </c>
      <c r="L455" s="24" t="n"/>
      <c r="M455" s="25">
        <f>IF(OR(A455="",D455=""),0,IF(COUNTIFS($A$2:A455,A455,$D$2:D455,D455)=1,1,0))</f>
        <v/>
      </c>
    </row>
    <row r="456">
      <c r="A456" s="26" t="n"/>
      <c r="B456" s="27" t="n"/>
      <c r="C456" s="27" t="n"/>
      <c r="D456" s="28" t="n"/>
      <c r="E456" s="28" t="n"/>
      <c r="F456" s="29" t="n"/>
      <c r="G456" s="30" t="n"/>
      <c r="H456" s="20">
        <f>IF(A456="","",TRIM(IF(WEEKDAY(A456,2)&gt;5,"Fin de semana. ","")&amp;IF(SUMIFS($G$2:$G$601,$A$2:$A$601,A456,$D$2:$D$601,D456)&gt;9,"Más de 9 h en el día. ","")&amp;IF(AND(B456&lt;&gt;"",C456&lt;&gt;"",C456&lt;B456),"Cruza la medianoche. ","")&amp;IF(LEN(TRIM(F456))&lt;15,"Sin descripción suficiente. ","")&amp;IF(AND(ISERROR(SEARCH("R-0",F456)),ISERROR(SEARCH("CU-",F456))),"Sin ticket. ","")&amp;IF(ISNA(MATCH(E456,Datos!$E$8:$E$22,0)),"Proyecto sin valor hora. ","")&amp;IF(ISNA(MATCH(D456,Datos!$A$8:$A$22,0)),"Persona fuera del equipo. ","")))</f>
        <v/>
      </c>
      <c r="I456" s="21" t="n"/>
      <c r="J456" s="22" t="n"/>
      <c r="K456" s="23">
        <f>IF(G456="","",IF(J456&lt;&gt;"",MIN(J456,G456),IF(OR(I456="Observada",I456="Rechazada"),0,G456)))</f>
        <v/>
      </c>
      <c r="L456" s="24" t="n"/>
      <c r="M456" s="25">
        <f>IF(OR(A456="",D456=""),0,IF(COUNTIFS($A$2:A456,A456,$D$2:D456,D456)=1,1,0))</f>
        <v/>
      </c>
    </row>
    <row r="457">
      <c r="A457" s="26" t="n"/>
      <c r="B457" s="27" t="n"/>
      <c r="C457" s="27" t="n"/>
      <c r="D457" s="28" t="n"/>
      <c r="E457" s="28" t="n"/>
      <c r="F457" s="29" t="n"/>
      <c r="G457" s="30" t="n"/>
      <c r="H457" s="20">
        <f>IF(A457="","",TRIM(IF(WEEKDAY(A457,2)&gt;5,"Fin de semana. ","")&amp;IF(SUMIFS($G$2:$G$601,$A$2:$A$601,A457,$D$2:$D$601,D457)&gt;9,"Más de 9 h en el día. ","")&amp;IF(AND(B457&lt;&gt;"",C457&lt;&gt;"",C457&lt;B457),"Cruza la medianoche. ","")&amp;IF(LEN(TRIM(F457))&lt;15,"Sin descripción suficiente. ","")&amp;IF(AND(ISERROR(SEARCH("R-0",F457)),ISERROR(SEARCH("CU-",F457))),"Sin ticket. ","")&amp;IF(ISNA(MATCH(E457,Datos!$E$8:$E$22,0)),"Proyecto sin valor hora. ","")&amp;IF(ISNA(MATCH(D457,Datos!$A$8:$A$22,0)),"Persona fuera del equipo. ","")))</f>
        <v/>
      </c>
      <c r="I457" s="21" t="n"/>
      <c r="J457" s="22" t="n"/>
      <c r="K457" s="23">
        <f>IF(G457="","",IF(J457&lt;&gt;"",MIN(J457,G457),IF(OR(I457="Observada",I457="Rechazada"),0,G457)))</f>
        <v/>
      </c>
      <c r="L457" s="24" t="n"/>
      <c r="M457" s="25">
        <f>IF(OR(A457="",D457=""),0,IF(COUNTIFS($A$2:A457,A457,$D$2:D457,D457)=1,1,0))</f>
        <v/>
      </c>
    </row>
    <row r="458">
      <c r="A458" s="26" t="n"/>
      <c r="B458" s="27" t="n"/>
      <c r="C458" s="27" t="n"/>
      <c r="D458" s="28" t="n"/>
      <c r="E458" s="28" t="n"/>
      <c r="F458" s="29" t="n"/>
      <c r="G458" s="30" t="n"/>
      <c r="H458" s="20">
        <f>IF(A458="","",TRIM(IF(WEEKDAY(A458,2)&gt;5,"Fin de semana. ","")&amp;IF(SUMIFS($G$2:$G$601,$A$2:$A$601,A458,$D$2:$D$601,D458)&gt;9,"Más de 9 h en el día. ","")&amp;IF(AND(B458&lt;&gt;"",C458&lt;&gt;"",C458&lt;B458),"Cruza la medianoche. ","")&amp;IF(LEN(TRIM(F458))&lt;15,"Sin descripción suficiente. ","")&amp;IF(AND(ISERROR(SEARCH("R-0",F458)),ISERROR(SEARCH("CU-",F458))),"Sin ticket. ","")&amp;IF(ISNA(MATCH(E458,Datos!$E$8:$E$22,0)),"Proyecto sin valor hora. ","")&amp;IF(ISNA(MATCH(D458,Datos!$A$8:$A$22,0)),"Persona fuera del equipo. ","")))</f>
        <v/>
      </c>
      <c r="I458" s="21" t="n"/>
      <c r="J458" s="22" t="n"/>
      <c r="K458" s="23">
        <f>IF(G458="","",IF(J458&lt;&gt;"",MIN(J458,G458),IF(OR(I458="Observada",I458="Rechazada"),0,G458)))</f>
        <v/>
      </c>
      <c r="L458" s="24" t="n"/>
      <c r="M458" s="25">
        <f>IF(OR(A458="",D458=""),0,IF(COUNTIFS($A$2:A458,A458,$D$2:D458,D458)=1,1,0))</f>
        <v/>
      </c>
    </row>
    <row r="459">
      <c r="A459" s="26" t="n"/>
      <c r="B459" s="27" t="n"/>
      <c r="C459" s="27" t="n"/>
      <c r="D459" s="28" t="n"/>
      <c r="E459" s="28" t="n"/>
      <c r="F459" s="29" t="n"/>
      <c r="G459" s="30" t="n"/>
      <c r="H459" s="20">
        <f>IF(A459="","",TRIM(IF(WEEKDAY(A459,2)&gt;5,"Fin de semana. ","")&amp;IF(SUMIFS($G$2:$G$601,$A$2:$A$601,A459,$D$2:$D$601,D459)&gt;9,"Más de 9 h en el día. ","")&amp;IF(AND(B459&lt;&gt;"",C459&lt;&gt;"",C459&lt;B459),"Cruza la medianoche. ","")&amp;IF(LEN(TRIM(F459))&lt;15,"Sin descripción suficiente. ","")&amp;IF(AND(ISERROR(SEARCH("R-0",F459)),ISERROR(SEARCH("CU-",F459))),"Sin ticket. ","")&amp;IF(ISNA(MATCH(E459,Datos!$E$8:$E$22,0)),"Proyecto sin valor hora. ","")&amp;IF(ISNA(MATCH(D459,Datos!$A$8:$A$22,0)),"Persona fuera del equipo. ","")))</f>
        <v/>
      </c>
      <c r="I459" s="21" t="n"/>
      <c r="J459" s="22" t="n"/>
      <c r="K459" s="23">
        <f>IF(G459="","",IF(J459&lt;&gt;"",MIN(J459,G459),IF(OR(I459="Observada",I459="Rechazada"),0,G459)))</f>
        <v/>
      </c>
      <c r="L459" s="24" t="n"/>
      <c r="M459" s="25">
        <f>IF(OR(A459="",D459=""),0,IF(COUNTIFS($A$2:A459,A459,$D$2:D459,D459)=1,1,0))</f>
        <v/>
      </c>
    </row>
    <row r="460">
      <c r="A460" s="26" t="n"/>
      <c r="B460" s="27" t="n"/>
      <c r="C460" s="27" t="n"/>
      <c r="D460" s="28" t="n"/>
      <c r="E460" s="28" t="n"/>
      <c r="F460" s="29" t="n"/>
      <c r="G460" s="30" t="n"/>
      <c r="H460" s="20">
        <f>IF(A460="","",TRIM(IF(WEEKDAY(A460,2)&gt;5,"Fin de semana. ","")&amp;IF(SUMIFS($G$2:$G$601,$A$2:$A$601,A460,$D$2:$D$601,D460)&gt;9,"Más de 9 h en el día. ","")&amp;IF(AND(B460&lt;&gt;"",C460&lt;&gt;"",C460&lt;B460),"Cruza la medianoche. ","")&amp;IF(LEN(TRIM(F460))&lt;15,"Sin descripción suficiente. ","")&amp;IF(AND(ISERROR(SEARCH("R-0",F460)),ISERROR(SEARCH("CU-",F460))),"Sin ticket. ","")&amp;IF(ISNA(MATCH(E460,Datos!$E$8:$E$22,0)),"Proyecto sin valor hora. ","")&amp;IF(ISNA(MATCH(D460,Datos!$A$8:$A$22,0)),"Persona fuera del equipo. ","")))</f>
        <v/>
      </c>
      <c r="I460" s="21" t="n"/>
      <c r="J460" s="22" t="n"/>
      <c r="K460" s="23">
        <f>IF(G460="","",IF(J460&lt;&gt;"",MIN(J460,G460),IF(OR(I460="Observada",I460="Rechazada"),0,G460)))</f>
        <v/>
      </c>
      <c r="L460" s="24" t="n"/>
      <c r="M460" s="25">
        <f>IF(OR(A460="",D460=""),0,IF(COUNTIFS($A$2:A460,A460,$D$2:D460,D460)=1,1,0))</f>
        <v/>
      </c>
    </row>
    <row r="461">
      <c r="A461" s="26" t="n"/>
      <c r="B461" s="27" t="n"/>
      <c r="C461" s="27" t="n"/>
      <c r="D461" s="28" t="n"/>
      <c r="E461" s="28" t="n"/>
      <c r="F461" s="29" t="n"/>
      <c r="G461" s="30" t="n"/>
      <c r="H461" s="20">
        <f>IF(A461="","",TRIM(IF(WEEKDAY(A461,2)&gt;5,"Fin de semana. ","")&amp;IF(SUMIFS($G$2:$G$601,$A$2:$A$601,A461,$D$2:$D$601,D461)&gt;9,"Más de 9 h en el día. ","")&amp;IF(AND(B461&lt;&gt;"",C461&lt;&gt;"",C461&lt;B461),"Cruza la medianoche. ","")&amp;IF(LEN(TRIM(F461))&lt;15,"Sin descripción suficiente. ","")&amp;IF(AND(ISERROR(SEARCH("R-0",F461)),ISERROR(SEARCH("CU-",F461))),"Sin ticket. ","")&amp;IF(ISNA(MATCH(E461,Datos!$E$8:$E$22,0)),"Proyecto sin valor hora. ","")&amp;IF(ISNA(MATCH(D461,Datos!$A$8:$A$22,0)),"Persona fuera del equipo. ","")))</f>
        <v/>
      </c>
      <c r="I461" s="21" t="n"/>
      <c r="J461" s="22" t="n"/>
      <c r="K461" s="23">
        <f>IF(G461="","",IF(J461&lt;&gt;"",MIN(J461,G461),IF(OR(I461="Observada",I461="Rechazada"),0,G461)))</f>
        <v/>
      </c>
      <c r="L461" s="24" t="n"/>
      <c r="M461" s="25">
        <f>IF(OR(A461="",D461=""),0,IF(COUNTIFS($A$2:A461,A461,$D$2:D461,D461)=1,1,0))</f>
        <v/>
      </c>
    </row>
    <row r="462">
      <c r="A462" s="26" t="n"/>
      <c r="B462" s="27" t="n"/>
      <c r="C462" s="27" t="n"/>
      <c r="D462" s="28" t="n"/>
      <c r="E462" s="28" t="n"/>
      <c r="F462" s="29" t="n"/>
      <c r="G462" s="30" t="n"/>
      <c r="H462" s="20">
        <f>IF(A462="","",TRIM(IF(WEEKDAY(A462,2)&gt;5,"Fin de semana. ","")&amp;IF(SUMIFS($G$2:$G$601,$A$2:$A$601,A462,$D$2:$D$601,D462)&gt;9,"Más de 9 h en el día. ","")&amp;IF(AND(B462&lt;&gt;"",C462&lt;&gt;"",C462&lt;B462),"Cruza la medianoche. ","")&amp;IF(LEN(TRIM(F462))&lt;15,"Sin descripción suficiente. ","")&amp;IF(AND(ISERROR(SEARCH("R-0",F462)),ISERROR(SEARCH("CU-",F462))),"Sin ticket. ","")&amp;IF(ISNA(MATCH(E462,Datos!$E$8:$E$22,0)),"Proyecto sin valor hora. ","")&amp;IF(ISNA(MATCH(D462,Datos!$A$8:$A$22,0)),"Persona fuera del equipo. ","")))</f>
        <v/>
      </c>
      <c r="I462" s="21" t="n"/>
      <c r="J462" s="22" t="n"/>
      <c r="K462" s="23">
        <f>IF(G462="","",IF(J462&lt;&gt;"",MIN(J462,G462),IF(OR(I462="Observada",I462="Rechazada"),0,G462)))</f>
        <v/>
      </c>
      <c r="L462" s="24" t="n"/>
      <c r="M462" s="25">
        <f>IF(OR(A462="",D462=""),0,IF(COUNTIFS($A$2:A462,A462,$D$2:D462,D462)=1,1,0))</f>
        <v/>
      </c>
    </row>
    <row r="463">
      <c r="A463" s="26" t="n"/>
      <c r="B463" s="27" t="n"/>
      <c r="C463" s="27" t="n"/>
      <c r="D463" s="28" t="n"/>
      <c r="E463" s="28" t="n"/>
      <c r="F463" s="29" t="n"/>
      <c r="G463" s="30" t="n"/>
      <c r="H463" s="20">
        <f>IF(A463="","",TRIM(IF(WEEKDAY(A463,2)&gt;5,"Fin de semana. ","")&amp;IF(SUMIFS($G$2:$G$601,$A$2:$A$601,A463,$D$2:$D$601,D463)&gt;9,"Más de 9 h en el día. ","")&amp;IF(AND(B463&lt;&gt;"",C463&lt;&gt;"",C463&lt;B463),"Cruza la medianoche. ","")&amp;IF(LEN(TRIM(F463))&lt;15,"Sin descripción suficiente. ","")&amp;IF(AND(ISERROR(SEARCH("R-0",F463)),ISERROR(SEARCH("CU-",F463))),"Sin ticket. ","")&amp;IF(ISNA(MATCH(E463,Datos!$E$8:$E$22,0)),"Proyecto sin valor hora. ","")&amp;IF(ISNA(MATCH(D463,Datos!$A$8:$A$22,0)),"Persona fuera del equipo. ","")))</f>
        <v/>
      </c>
      <c r="I463" s="21" t="n"/>
      <c r="J463" s="22" t="n"/>
      <c r="K463" s="23">
        <f>IF(G463="","",IF(J463&lt;&gt;"",MIN(J463,G463),IF(OR(I463="Observada",I463="Rechazada"),0,G463)))</f>
        <v/>
      </c>
      <c r="L463" s="24" t="n"/>
      <c r="M463" s="25">
        <f>IF(OR(A463="",D463=""),0,IF(COUNTIFS($A$2:A463,A463,$D$2:D463,D463)=1,1,0))</f>
        <v/>
      </c>
    </row>
    <row r="464">
      <c r="A464" s="26" t="n"/>
      <c r="B464" s="27" t="n"/>
      <c r="C464" s="27" t="n"/>
      <c r="D464" s="28" t="n"/>
      <c r="E464" s="28" t="n"/>
      <c r="F464" s="29" t="n"/>
      <c r="G464" s="30" t="n"/>
      <c r="H464" s="20">
        <f>IF(A464="","",TRIM(IF(WEEKDAY(A464,2)&gt;5,"Fin de semana. ","")&amp;IF(SUMIFS($G$2:$G$601,$A$2:$A$601,A464,$D$2:$D$601,D464)&gt;9,"Más de 9 h en el día. ","")&amp;IF(AND(B464&lt;&gt;"",C464&lt;&gt;"",C464&lt;B464),"Cruza la medianoche. ","")&amp;IF(LEN(TRIM(F464))&lt;15,"Sin descripción suficiente. ","")&amp;IF(AND(ISERROR(SEARCH("R-0",F464)),ISERROR(SEARCH("CU-",F464))),"Sin ticket. ","")&amp;IF(ISNA(MATCH(E464,Datos!$E$8:$E$22,0)),"Proyecto sin valor hora. ","")&amp;IF(ISNA(MATCH(D464,Datos!$A$8:$A$22,0)),"Persona fuera del equipo. ","")))</f>
        <v/>
      </c>
      <c r="I464" s="21" t="n"/>
      <c r="J464" s="22" t="n"/>
      <c r="K464" s="23">
        <f>IF(G464="","",IF(J464&lt;&gt;"",MIN(J464,G464),IF(OR(I464="Observada",I464="Rechazada"),0,G464)))</f>
        <v/>
      </c>
      <c r="L464" s="24" t="n"/>
      <c r="M464" s="25">
        <f>IF(OR(A464="",D464=""),0,IF(COUNTIFS($A$2:A464,A464,$D$2:D464,D464)=1,1,0))</f>
        <v/>
      </c>
    </row>
    <row r="465">
      <c r="A465" s="26" t="n"/>
      <c r="B465" s="27" t="n"/>
      <c r="C465" s="27" t="n"/>
      <c r="D465" s="28" t="n"/>
      <c r="E465" s="28" t="n"/>
      <c r="F465" s="29" t="n"/>
      <c r="G465" s="30" t="n"/>
      <c r="H465" s="20">
        <f>IF(A465="","",TRIM(IF(WEEKDAY(A465,2)&gt;5,"Fin de semana. ","")&amp;IF(SUMIFS($G$2:$G$601,$A$2:$A$601,A465,$D$2:$D$601,D465)&gt;9,"Más de 9 h en el día. ","")&amp;IF(AND(B465&lt;&gt;"",C465&lt;&gt;"",C465&lt;B465),"Cruza la medianoche. ","")&amp;IF(LEN(TRIM(F465))&lt;15,"Sin descripción suficiente. ","")&amp;IF(AND(ISERROR(SEARCH("R-0",F465)),ISERROR(SEARCH("CU-",F465))),"Sin ticket. ","")&amp;IF(ISNA(MATCH(E465,Datos!$E$8:$E$22,0)),"Proyecto sin valor hora. ","")&amp;IF(ISNA(MATCH(D465,Datos!$A$8:$A$22,0)),"Persona fuera del equipo. ","")))</f>
        <v/>
      </c>
      <c r="I465" s="21" t="n"/>
      <c r="J465" s="22" t="n"/>
      <c r="K465" s="23">
        <f>IF(G465="","",IF(J465&lt;&gt;"",MIN(J465,G465),IF(OR(I465="Observada",I465="Rechazada"),0,G465)))</f>
        <v/>
      </c>
      <c r="L465" s="24" t="n"/>
      <c r="M465" s="25">
        <f>IF(OR(A465="",D465=""),0,IF(COUNTIFS($A$2:A465,A465,$D$2:D465,D465)=1,1,0))</f>
        <v/>
      </c>
    </row>
    <row r="466">
      <c r="A466" s="26" t="n"/>
      <c r="B466" s="27" t="n"/>
      <c r="C466" s="27" t="n"/>
      <c r="D466" s="28" t="n"/>
      <c r="E466" s="28" t="n"/>
      <c r="F466" s="29" t="n"/>
      <c r="G466" s="30" t="n"/>
      <c r="H466" s="20">
        <f>IF(A466="","",TRIM(IF(WEEKDAY(A466,2)&gt;5,"Fin de semana. ","")&amp;IF(SUMIFS($G$2:$G$601,$A$2:$A$601,A466,$D$2:$D$601,D466)&gt;9,"Más de 9 h en el día. ","")&amp;IF(AND(B466&lt;&gt;"",C466&lt;&gt;"",C466&lt;B466),"Cruza la medianoche. ","")&amp;IF(LEN(TRIM(F466))&lt;15,"Sin descripción suficiente. ","")&amp;IF(AND(ISERROR(SEARCH("R-0",F466)),ISERROR(SEARCH("CU-",F466))),"Sin ticket. ","")&amp;IF(ISNA(MATCH(E466,Datos!$E$8:$E$22,0)),"Proyecto sin valor hora. ","")&amp;IF(ISNA(MATCH(D466,Datos!$A$8:$A$22,0)),"Persona fuera del equipo. ","")))</f>
        <v/>
      </c>
      <c r="I466" s="21" t="n"/>
      <c r="J466" s="22" t="n"/>
      <c r="K466" s="23">
        <f>IF(G466="","",IF(J466&lt;&gt;"",MIN(J466,G466),IF(OR(I466="Observada",I466="Rechazada"),0,G466)))</f>
        <v/>
      </c>
      <c r="L466" s="24" t="n"/>
      <c r="M466" s="25">
        <f>IF(OR(A466="",D466=""),0,IF(COUNTIFS($A$2:A466,A466,$D$2:D466,D466)=1,1,0))</f>
        <v/>
      </c>
    </row>
    <row r="467">
      <c r="A467" s="26" t="n"/>
      <c r="B467" s="27" t="n"/>
      <c r="C467" s="27" t="n"/>
      <c r="D467" s="28" t="n"/>
      <c r="E467" s="28" t="n"/>
      <c r="F467" s="29" t="n"/>
      <c r="G467" s="30" t="n"/>
      <c r="H467" s="20">
        <f>IF(A467="","",TRIM(IF(WEEKDAY(A467,2)&gt;5,"Fin de semana. ","")&amp;IF(SUMIFS($G$2:$G$601,$A$2:$A$601,A467,$D$2:$D$601,D467)&gt;9,"Más de 9 h en el día. ","")&amp;IF(AND(B467&lt;&gt;"",C467&lt;&gt;"",C467&lt;B467),"Cruza la medianoche. ","")&amp;IF(LEN(TRIM(F467))&lt;15,"Sin descripción suficiente. ","")&amp;IF(AND(ISERROR(SEARCH("R-0",F467)),ISERROR(SEARCH("CU-",F467))),"Sin ticket. ","")&amp;IF(ISNA(MATCH(E467,Datos!$E$8:$E$22,0)),"Proyecto sin valor hora. ","")&amp;IF(ISNA(MATCH(D467,Datos!$A$8:$A$22,0)),"Persona fuera del equipo. ","")))</f>
        <v/>
      </c>
      <c r="I467" s="21" t="n"/>
      <c r="J467" s="22" t="n"/>
      <c r="K467" s="23">
        <f>IF(G467="","",IF(J467&lt;&gt;"",MIN(J467,G467),IF(OR(I467="Observada",I467="Rechazada"),0,G467)))</f>
        <v/>
      </c>
      <c r="L467" s="24" t="n"/>
      <c r="M467" s="25">
        <f>IF(OR(A467="",D467=""),0,IF(COUNTIFS($A$2:A467,A467,$D$2:D467,D467)=1,1,0))</f>
        <v/>
      </c>
    </row>
    <row r="468">
      <c r="A468" s="26" t="n"/>
      <c r="B468" s="27" t="n"/>
      <c r="C468" s="27" t="n"/>
      <c r="D468" s="28" t="n"/>
      <c r="E468" s="28" t="n"/>
      <c r="F468" s="29" t="n"/>
      <c r="G468" s="30" t="n"/>
      <c r="H468" s="20">
        <f>IF(A468="","",TRIM(IF(WEEKDAY(A468,2)&gt;5,"Fin de semana. ","")&amp;IF(SUMIFS($G$2:$G$601,$A$2:$A$601,A468,$D$2:$D$601,D468)&gt;9,"Más de 9 h en el día. ","")&amp;IF(AND(B468&lt;&gt;"",C468&lt;&gt;"",C468&lt;B468),"Cruza la medianoche. ","")&amp;IF(LEN(TRIM(F468))&lt;15,"Sin descripción suficiente. ","")&amp;IF(AND(ISERROR(SEARCH("R-0",F468)),ISERROR(SEARCH("CU-",F468))),"Sin ticket. ","")&amp;IF(ISNA(MATCH(E468,Datos!$E$8:$E$22,0)),"Proyecto sin valor hora. ","")&amp;IF(ISNA(MATCH(D468,Datos!$A$8:$A$22,0)),"Persona fuera del equipo. ","")))</f>
        <v/>
      </c>
      <c r="I468" s="21" t="n"/>
      <c r="J468" s="22" t="n"/>
      <c r="K468" s="23">
        <f>IF(G468="","",IF(J468&lt;&gt;"",MIN(J468,G468),IF(OR(I468="Observada",I468="Rechazada"),0,G468)))</f>
        <v/>
      </c>
      <c r="L468" s="24" t="n"/>
      <c r="M468" s="25">
        <f>IF(OR(A468="",D468=""),0,IF(COUNTIFS($A$2:A468,A468,$D$2:D468,D468)=1,1,0))</f>
        <v/>
      </c>
    </row>
    <row r="469">
      <c r="A469" s="26" t="n"/>
      <c r="B469" s="27" t="n"/>
      <c r="C469" s="27" t="n"/>
      <c r="D469" s="28" t="n"/>
      <c r="E469" s="28" t="n"/>
      <c r="F469" s="29" t="n"/>
      <c r="G469" s="30" t="n"/>
      <c r="H469" s="20">
        <f>IF(A469="","",TRIM(IF(WEEKDAY(A469,2)&gt;5,"Fin de semana. ","")&amp;IF(SUMIFS($G$2:$G$601,$A$2:$A$601,A469,$D$2:$D$601,D469)&gt;9,"Más de 9 h en el día. ","")&amp;IF(AND(B469&lt;&gt;"",C469&lt;&gt;"",C469&lt;B469),"Cruza la medianoche. ","")&amp;IF(LEN(TRIM(F469))&lt;15,"Sin descripción suficiente. ","")&amp;IF(AND(ISERROR(SEARCH("R-0",F469)),ISERROR(SEARCH("CU-",F469))),"Sin ticket. ","")&amp;IF(ISNA(MATCH(E469,Datos!$E$8:$E$22,0)),"Proyecto sin valor hora. ","")&amp;IF(ISNA(MATCH(D469,Datos!$A$8:$A$22,0)),"Persona fuera del equipo. ","")))</f>
        <v/>
      </c>
      <c r="I469" s="21" t="n"/>
      <c r="J469" s="22" t="n"/>
      <c r="K469" s="23">
        <f>IF(G469="","",IF(J469&lt;&gt;"",MIN(J469,G469),IF(OR(I469="Observada",I469="Rechazada"),0,G469)))</f>
        <v/>
      </c>
      <c r="L469" s="24" t="n"/>
      <c r="M469" s="25">
        <f>IF(OR(A469="",D469=""),0,IF(COUNTIFS($A$2:A469,A469,$D$2:D469,D469)=1,1,0))</f>
        <v/>
      </c>
    </row>
    <row r="470">
      <c r="A470" s="26" t="n"/>
      <c r="B470" s="27" t="n"/>
      <c r="C470" s="27" t="n"/>
      <c r="D470" s="28" t="n"/>
      <c r="E470" s="28" t="n"/>
      <c r="F470" s="29" t="n"/>
      <c r="G470" s="30" t="n"/>
      <c r="H470" s="20">
        <f>IF(A470="","",TRIM(IF(WEEKDAY(A470,2)&gt;5,"Fin de semana. ","")&amp;IF(SUMIFS($G$2:$G$601,$A$2:$A$601,A470,$D$2:$D$601,D470)&gt;9,"Más de 9 h en el día. ","")&amp;IF(AND(B470&lt;&gt;"",C470&lt;&gt;"",C470&lt;B470),"Cruza la medianoche. ","")&amp;IF(LEN(TRIM(F470))&lt;15,"Sin descripción suficiente. ","")&amp;IF(AND(ISERROR(SEARCH("R-0",F470)),ISERROR(SEARCH("CU-",F470))),"Sin ticket. ","")&amp;IF(ISNA(MATCH(E470,Datos!$E$8:$E$22,0)),"Proyecto sin valor hora. ","")&amp;IF(ISNA(MATCH(D470,Datos!$A$8:$A$22,0)),"Persona fuera del equipo. ","")))</f>
        <v/>
      </c>
      <c r="I470" s="21" t="n"/>
      <c r="J470" s="22" t="n"/>
      <c r="K470" s="23">
        <f>IF(G470="","",IF(J470&lt;&gt;"",MIN(J470,G470),IF(OR(I470="Observada",I470="Rechazada"),0,G470)))</f>
        <v/>
      </c>
      <c r="L470" s="24" t="n"/>
      <c r="M470" s="25">
        <f>IF(OR(A470="",D470=""),0,IF(COUNTIFS($A$2:A470,A470,$D$2:D470,D470)=1,1,0))</f>
        <v/>
      </c>
    </row>
    <row r="471">
      <c r="A471" s="26" t="n"/>
      <c r="B471" s="27" t="n"/>
      <c r="C471" s="27" t="n"/>
      <c r="D471" s="28" t="n"/>
      <c r="E471" s="28" t="n"/>
      <c r="F471" s="29" t="n"/>
      <c r="G471" s="30" t="n"/>
      <c r="H471" s="20">
        <f>IF(A471="","",TRIM(IF(WEEKDAY(A471,2)&gt;5,"Fin de semana. ","")&amp;IF(SUMIFS($G$2:$G$601,$A$2:$A$601,A471,$D$2:$D$601,D471)&gt;9,"Más de 9 h en el día. ","")&amp;IF(AND(B471&lt;&gt;"",C471&lt;&gt;"",C471&lt;B471),"Cruza la medianoche. ","")&amp;IF(LEN(TRIM(F471))&lt;15,"Sin descripción suficiente. ","")&amp;IF(AND(ISERROR(SEARCH("R-0",F471)),ISERROR(SEARCH("CU-",F471))),"Sin ticket. ","")&amp;IF(ISNA(MATCH(E471,Datos!$E$8:$E$22,0)),"Proyecto sin valor hora. ","")&amp;IF(ISNA(MATCH(D471,Datos!$A$8:$A$22,0)),"Persona fuera del equipo. ","")))</f>
        <v/>
      </c>
      <c r="I471" s="21" t="n"/>
      <c r="J471" s="22" t="n"/>
      <c r="K471" s="23">
        <f>IF(G471="","",IF(J471&lt;&gt;"",MIN(J471,G471),IF(OR(I471="Observada",I471="Rechazada"),0,G471)))</f>
        <v/>
      </c>
      <c r="L471" s="24" t="n"/>
      <c r="M471" s="25">
        <f>IF(OR(A471="",D471=""),0,IF(COUNTIFS($A$2:A471,A471,$D$2:D471,D471)=1,1,0))</f>
        <v/>
      </c>
    </row>
    <row r="472">
      <c r="A472" s="26" t="n"/>
      <c r="B472" s="27" t="n"/>
      <c r="C472" s="27" t="n"/>
      <c r="D472" s="28" t="n"/>
      <c r="E472" s="28" t="n"/>
      <c r="F472" s="29" t="n"/>
      <c r="G472" s="30" t="n"/>
      <c r="H472" s="20">
        <f>IF(A472="","",TRIM(IF(WEEKDAY(A472,2)&gt;5,"Fin de semana. ","")&amp;IF(SUMIFS($G$2:$G$601,$A$2:$A$601,A472,$D$2:$D$601,D472)&gt;9,"Más de 9 h en el día. ","")&amp;IF(AND(B472&lt;&gt;"",C472&lt;&gt;"",C472&lt;B472),"Cruza la medianoche. ","")&amp;IF(LEN(TRIM(F472))&lt;15,"Sin descripción suficiente. ","")&amp;IF(AND(ISERROR(SEARCH("R-0",F472)),ISERROR(SEARCH("CU-",F472))),"Sin ticket. ","")&amp;IF(ISNA(MATCH(E472,Datos!$E$8:$E$22,0)),"Proyecto sin valor hora. ","")&amp;IF(ISNA(MATCH(D472,Datos!$A$8:$A$22,0)),"Persona fuera del equipo. ","")))</f>
        <v/>
      </c>
      <c r="I472" s="21" t="n"/>
      <c r="J472" s="22" t="n"/>
      <c r="K472" s="23">
        <f>IF(G472="","",IF(J472&lt;&gt;"",MIN(J472,G472),IF(OR(I472="Observada",I472="Rechazada"),0,G472)))</f>
        <v/>
      </c>
      <c r="L472" s="24" t="n"/>
      <c r="M472" s="25">
        <f>IF(OR(A472="",D472=""),0,IF(COUNTIFS($A$2:A472,A472,$D$2:D472,D472)=1,1,0))</f>
        <v/>
      </c>
    </row>
    <row r="473">
      <c r="A473" s="26" t="n"/>
      <c r="B473" s="27" t="n"/>
      <c r="C473" s="27" t="n"/>
      <c r="D473" s="28" t="n"/>
      <c r="E473" s="28" t="n"/>
      <c r="F473" s="29" t="n"/>
      <c r="G473" s="30" t="n"/>
      <c r="H473" s="20">
        <f>IF(A473="","",TRIM(IF(WEEKDAY(A473,2)&gt;5,"Fin de semana. ","")&amp;IF(SUMIFS($G$2:$G$601,$A$2:$A$601,A473,$D$2:$D$601,D473)&gt;9,"Más de 9 h en el día. ","")&amp;IF(AND(B473&lt;&gt;"",C473&lt;&gt;"",C473&lt;B473),"Cruza la medianoche. ","")&amp;IF(LEN(TRIM(F473))&lt;15,"Sin descripción suficiente. ","")&amp;IF(AND(ISERROR(SEARCH("R-0",F473)),ISERROR(SEARCH("CU-",F473))),"Sin ticket. ","")&amp;IF(ISNA(MATCH(E473,Datos!$E$8:$E$22,0)),"Proyecto sin valor hora. ","")&amp;IF(ISNA(MATCH(D473,Datos!$A$8:$A$22,0)),"Persona fuera del equipo. ","")))</f>
        <v/>
      </c>
      <c r="I473" s="21" t="n"/>
      <c r="J473" s="22" t="n"/>
      <c r="K473" s="23">
        <f>IF(G473="","",IF(J473&lt;&gt;"",MIN(J473,G473),IF(OR(I473="Observada",I473="Rechazada"),0,G473)))</f>
        <v/>
      </c>
      <c r="L473" s="24" t="n"/>
      <c r="M473" s="25">
        <f>IF(OR(A473="",D473=""),0,IF(COUNTIFS($A$2:A473,A473,$D$2:D473,D473)=1,1,0))</f>
        <v/>
      </c>
    </row>
    <row r="474">
      <c r="A474" s="26" t="n"/>
      <c r="B474" s="27" t="n"/>
      <c r="C474" s="27" t="n"/>
      <c r="D474" s="28" t="n"/>
      <c r="E474" s="28" t="n"/>
      <c r="F474" s="29" t="n"/>
      <c r="G474" s="30" t="n"/>
      <c r="H474" s="20">
        <f>IF(A474="","",TRIM(IF(WEEKDAY(A474,2)&gt;5,"Fin de semana. ","")&amp;IF(SUMIFS($G$2:$G$601,$A$2:$A$601,A474,$D$2:$D$601,D474)&gt;9,"Más de 9 h en el día. ","")&amp;IF(AND(B474&lt;&gt;"",C474&lt;&gt;"",C474&lt;B474),"Cruza la medianoche. ","")&amp;IF(LEN(TRIM(F474))&lt;15,"Sin descripción suficiente. ","")&amp;IF(AND(ISERROR(SEARCH("R-0",F474)),ISERROR(SEARCH("CU-",F474))),"Sin ticket. ","")&amp;IF(ISNA(MATCH(E474,Datos!$E$8:$E$22,0)),"Proyecto sin valor hora. ","")&amp;IF(ISNA(MATCH(D474,Datos!$A$8:$A$22,0)),"Persona fuera del equipo. ","")))</f>
        <v/>
      </c>
      <c r="I474" s="21" t="n"/>
      <c r="J474" s="22" t="n"/>
      <c r="K474" s="23">
        <f>IF(G474="","",IF(J474&lt;&gt;"",MIN(J474,G474),IF(OR(I474="Observada",I474="Rechazada"),0,G474)))</f>
        <v/>
      </c>
      <c r="L474" s="24" t="n"/>
      <c r="M474" s="25">
        <f>IF(OR(A474="",D474=""),0,IF(COUNTIFS($A$2:A474,A474,$D$2:D474,D474)=1,1,0))</f>
        <v/>
      </c>
    </row>
    <row r="475">
      <c r="A475" s="26" t="n"/>
      <c r="B475" s="27" t="n"/>
      <c r="C475" s="27" t="n"/>
      <c r="D475" s="28" t="n"/>
      <c r="E475" s="28" t="n"/>
      <c r="F475" s="29" t="n"/>
      <c r="G475" s="30" t="n"/>
      <c r="H475" s="20">
        <f>IF(A475="","",TRIM(IF(WEEKDAY(A475,2)&gt;5,"Fin de semana. ","")&amp;IF(SUMIFS($G$2:$G$601,$A$2:$A$601,A475,$D$2:$D$601,D475)&gt;9,"Más de 9 h en el día. ","")&amp;IF(AND(B475&lt;&gt;"",C475&lt;&gt;"",C475&lt;B475),"Cruza la medianoche. ","")&amp;IF(LEN(TRIM(F475))&lt;15,"Sin descripción suficiente. ","")&amp;IF(AND(ISERROR(SEARCH("R-0",F475)),ISERROR(SEARCH("CU-",F475))),"Sin ticket. ","")&amp;IF(ISNA(MATCH(E475,Datos!$E$8:$E$22,0)),"Proyecto sin valor hora. ","")&amp;IF(ISNA(MATCH(D475,Datos!$A$8:$A$22,0)),"Persona fuera del equipo. ","")))</f>
        <v/>
      </c>
      <c r="I475" s="21" t="n"/>
      <c r="J475" s="22" t="n"/>
      <c r="K475" s="23">
        <f>IF(G475="","",IF(J475&lt;&gt;"",MIN(J475,G475),IF(OR(I475="Observada",I475="Rechazada"),0,G475)))</f>
        <v/>
      </c>
      <c r="L475" s="24" t="n"/>
      <c r="M475" s="25">
        <f>IF(OR(A475="",D475=""),0,IF(COUNTIFS($A$2:A475,A475,$D$2:D475,D475)=1,1,0))</f>
        <v/>
      </c>
    </row>
    <row r="476">
      <c r="A476" s="26" t="n"/>
      <c r="B476" s="27" t="n"/>
      <c r="C476" s="27" t="n"/>
      <c r="D476" s="28" t="n"/>
      <c r="E476" s="28" t="n"/>
      <c r="F476" s="29" t="n"/>
      <c r="G476" s="30" t="n"/>
      <c r="H476" s="20">
        <f>IF(A476="","",TRIM(IF(WEEKDAY(A476,2)&gt;5,"Fin de semana. ","")&amp;IF(SUMIFS($G$2:$G$601,$A$2:$A$601,A476,$D$2:$D$601,D476)&gt;9,"Más de 9 h en el día. ","")&amp;IF(AND(B476&lt;&gt;"",C476&lt;&gt;"",C476&lt;B476),"Cruza la medianoche. ","")&amp;IF(LEN(TRIM(F476))&lt;15,"Sin descripción suficiente. ","")&amp;IF(AND(ISERROR(SEARCH("R-0",F476)),ISERROR(SEARCH("CU-",F476))),"Sin ticket. ","")&amp;IF(ISNA(MATCH(E476,Datos!$E$8:$E$22,0)),"Proyecto sin valor hora. ","")&amp;IF(ISNA(MATCH(D476,Datos!$A$8:$A$22,0)),"Persona fuera del equipo. ","")))</f>
        <v/>
      </c>
      <c r="I476" s="21" t="n"/>
      <c r="J476" s="22" t="n"/>
      <c r="K476" s="23">
        <f>IF(G476="","",IF(J476&lt;&gt;"",MIN(J476,G476),IF(OR(I476="Observada",I476="Rechazada"),0,G476)))</f>
        <v/>
      </c>
      <c r="L476" s="24" t="n"/>
      <c r="M476" s="25">
        <f>IF(OR(A476="",D476=""),0,IF(COUNTIFS($A$2:A476,A476,$D$2:D476,D476)=1,1,0))</f>
        <v/>
      </c>
    </row>
    <row r="477">
      <c r="A477" s="26" t="n"/>
      <c r="B477" s="27" t="n"/>
      <c r="C477" s="27" t="n"/>
      <c r="D477" s="28" t="n"/>
      <c r="E477" s="28" t="n"/>
      <c r="F477" s="29" t="n"/>
      <c r="G477" s="30" t="n"/>
      <c r="H477" s="20">
        <f>IF(A477="","",TRIM(IF(WEEKDAY(A477,2)&gt;5,"Fin de semana. ","")&amp;IF(SUMIFS($G$2:$G$601,$A$2:$A$601,A477,$D$2:$D$601,D477)&gt;9,"Más de 9 h en el día. ","")&amp;IF(AND(B477&lt;&gt;"",C477&lt;&gt;"",C477&lt;B477),"Cruza la medianoche. ","")&amp;IF(LEN(TRIM(F477))&lt;15,"Sin descripción suficiente. ","")&amp;IF(AND(ISERROR(SEARCH("R-0",F477)),ISERROR(SEARCH("CU-",F477))),"Sin ticket. ","")&amp;IF(ISNA(MATCH(E477,Datos!$E$8:$E$22,0)),"Proyecto sin valor hora. ","")&amp;IF(ISNA(MATCH(D477,Datos!$A$8:$A$22,0)),"Persona fuera del equipo. ","")))</f>
        <v/>
      </c>
      <c r="I477" s="21" t="n"/>
      <c r="J477" s="22" t="n"/>
      <c r="K477" s="23">
        <f>IF(G477="","",IF(J477&lt;&gt;"",MIN(J477,G477),IF(OR(I477="Observada",I477="Rechazada"),0,G477)))</f>
        <v/>
      </c>
      <c r="L477" s="24" t="n"/>
      <c r="M477" s="25">
        <f>IF(OR(A477="",D477=""),0,IF(COUNTIFS($A$2:A477,A477,$D$2:D477,D477)=1,1,0))</f>
        <v/>
      </c>
    </row>
    <row r="478">
      <c r="A478" s="26" t="n"/>
      <c r="B478" s="27" t="n"/>
      <c r="C478" s="27" t="n"/>
      <c r="D478" s="28" t="n"/>
      <c r="E478" s="28" t="n"/>
      <c r="F478" s="29" t="n"/>
      <c r="G478" s="30" t="n"/>
      <c r="H478" s="20">
        <f>IF(A478="","",TRIM(IF(WEEKDAY(A478,2)&gt;5,"Fin de semana. ","")&amp;IF(SUMIFS($G$2:$G$601,$A$2:$A$601,A478,$D$2:$D$601,D478)&gt;9,"Más de 9 h en el día. ","")&amp;IF(AND(B478&lt;&gt;"",C478&lt;&gt;"",C478&lt;B478),"Cruza la medianoche. ","")&amp;IF(LEN(TRIM(F478))&lt;15,"Sin descripción suficiente. ","")&amp;IF(AND(ISERROR(SEARCH("R-0",F478)),ISERROR(SEARCH("CU-",F478))),"Sin ticket. ","")&amp;IF(ISNA(MATCH(E478,Datos!$E$8:$E$22,0)),"Proyecto sin valor hora. ","")&amp;IF(ISNA(MATCH(D478,Datos!$A$8:$A$22,0)),"Persona fuera del equipo. ","")))</f>
        <v/>
      </c>
      <c r="I478" s="21" t="n"/>
      <c r="J478" s="22" t="n"/>
      <c r="K478" s="23">
        <f>IF(G478="","",IF(J478&lt;&gt;"",MIN(J478,G478),IF(OR(I478="Observada",I478="Rechazada"),0,G478)))</f>
        <v/>
      </c>
      <c r="L478" s="24" t="n"/>
      <c r="M478" s="25">
        <f>IF(OR(A478="",D478=""),0,IF(COUNTIFS($A$2:A478,A478,$D$2:D478,D478)=1,1,0))</f>
        <v/>
      </c>
    </row>
    <row r="479">
      <c r="A479" s="26" t="n"/>
      <c r="B479" s="27" t="n"/>
      <c r="C479" s="27" t="n"/>
      <c r="D479" s="28" t="n"/>
      <c r="E479" s="28" t="n"/>
      <c r="F479" s="29" t="n"/>
      <c r="G479" s="30" t="n"/>
      <c r="H479" s="20">
        <f>IF(A479="","",TRIM(IF(WEEKDAY(A479,2)&gt;5,"Fin de semana. ","")&amp;IF(SUMIFS($G$2:$G$601,$A$2:$A$601,A479,$D$2:$D$601,D479)&gt;9,"Más de 9 h en el día. ","")&amp;IF(AND(B479&lt;&gt;"",C479&lt;&gt;"",C479&lt;B479),"Cruza la medianoche. ","")&amp;IF(LEN(TRIM(F479))&lt;15,"Sin descripción suficiente. ","")&amp;IF(AND(ISERROR(SEARCH("R-0",F479)),ISERROR(SEARCH("CU-",F479))),"Sin ticket. ","")&amp;IF(ISNA(MATCH(E479,Datos!$E$8:$E$22,0)),"Proyecto sin valor hora. ","")&amp;IF(ISNA(MATCH(D479,Datos!$A$8:$A$22,0)),"Persona fuera del equipo. ","")))</f>
        <v/>
      </c>
      <c r="I479" s="21" t="n"/>
      <c r="J479" s="22" t="n"/>
      <c r="K479" s="23">
        <f>IF(G479="","",IF(J479&lt;&gt;"",MIN(J479,G479),IF(OR(I479="Observada",I479="Rechazada"),0,G479)))</f>
        <v/>
      </c>
      <c r="L479" s="24" t="n"/>
      <c r="M479" s="25">
        <f>IF(OR(A479="",D479=""),0,IF(COUNTIFS($A$2:A479,A479,$D$2:D479,D479)=1,1,0))</f>
        <v/>
      </c>
    </row>
    <row r="480">
      <c r="A480" s="26" t="n"/>
      <c r="B480" s="27" t="n"/>
      <c r="C480" s="27" t="n"/>
      <c r="D480" s="28" t="n"/>
      <c r="E480" s="28" t="n"/>
      <c r="F480" s="29" t="n"/>
      <c r="G480" s="30" t="n"/>
      <c r="H480" s="20">
        <f>IF(A480="","",TRIM(IF(WEEKDAY(A480,2)&gt;5,"Fin de semana. ","")&amp;IF(SUMIFS($G$2:$G$601,$A$2:$A$601,A480,$D$2:$D$601,D480)&gt;9,"Más de 9 h en el día. ","")&amp;IF(AND(B480&lt;&gt;"",C480&lt;&gt;"",C480&lt;B480),"Cruza la medianoche. ","")&amp;IF(LEN(TRIM(F480))&lt;15,"Sin descripción suficiente. ","")&amp;IF(AND(ISERROR(SEARCH("R-0",F480)),ISERROR(SEARCH("CU-",F480))),"Sin ticket. ","")&amp;IF(ISNA(MATCH(E480,Datos!$E$8:$E$22,0)),"Proyecto sin valor hora. ","")&amp;IF(ISNA(MATCH(D480,Datos!$A$8:$A$22,0)),"Persona fuera del equipo. ","")))</f>
        <v/>
      </c>
      <c r="I480" s="21" t="n"/>
      <c r="J480" s="22" t="n"/>
      <c r="K480" s="23">
        <f>IF(G480="","",IF(J480&lt;&gt;"",MIN(J480,G480),IF(OR(I480="Observada",I480="Rechazada"),0,G480)))</f>
        <v/>
      </c>
      <c r="L480" s="24" t="n"/>
      <c r="M480" s="25">
        <f>IF(OR(A480="",D480=""),0,IF(COUNTIFS($A$2:A480,A480,$D$2:D480,D480)=1,1,0))</f>
        <v/>
      </c>
    </row>
    <row r="481">
      <c r="A481" s="26" t="n"/>
      <c r="B481" s="27" t="n"/>
      <c r="C481" s="27" t="n"/>
      <c r="D481" s="28" t="n"/>
      <c r="E481" s="28" t="n"/>
      <c r="F481" s="29" t="n"/>
      <c r="G481" s="30" t="n"/>
      <c r="H481" s="20">
        <f>IF(A481="","",TRIM(IF(WEEKDAY(A481,2)&gt;5,"Fin de semana. ","")&amp;IF(SUMIFS($G$2:$G$601,$A$2:$A$601,A481,$D$2:$D$601,D481)&gt;9,"Más de 9 h en el día. ","")&amp;IF(AND(B481&lt;&gt;"",C481&lt;&gt;"",C481&lt;B481),"Cruza la medianoche. ","")&amp;IF(LEN(TRIM(F481))&lt;15,"Sin descripción suficiente. ","")&amp;IF(AND(ISERROR(SEARCH("R-0",F481)),ISERROR(SEARCH("CU-",F481))),"Sin ticket. ","")&amp;IF(ISNA(MATCH(E481,Datos!$E$8:$E$22,0)),"Proyecto sin valor hora. ","")&amp;IF(ISNA(MATCH(D481,Datos!$A$8:$A$22,0)),"Persona fuera del equipo. ","")))</f>
        <v/>
      </c>
      <c r="I481" s="21" t="n"/>
      <c r="J481" s="22" t="n"/>
      <c r="K481" s="23">
        <f>IF(G481="","",IF(J481&lt;&gt;"",MIN(J481,G481),IF(OR(I481="Observada",I481="Rechazada"),0,G481)))</f>
        <v/>
      </c>
      <c r="L481" s="24" t="n"/>
      <c r="M481" s="25">
        <f>IF(OR(A481="",D481=""),0,IF(COUNTIFS($A$2:A481,A481,$D$2:D481,D481)=1,1,0))</f>
        <v/>
      </c>
    </row>
    <row r="482">
      <c r="A482" s="26" t="n"/>
      <c r="B482" s="27" t="n"/>
      <c r="C482" s="27" t="n"/>
      <c r="D482" s="28" t="n"/>
      <c r="E482" s="28" t="n"/>
      <c r="F482" s="29" t="n"/>
      <c r="G482" s="30" t="n"/>
      <c r="H482" s="20">
        <f>IF(A482="","",TRIM(IF(WEEKDAY(A482,2)&gt;5,"Fin de semana. ","")&amp;IF(SUMIFS($G$2:$G$601,$A$2:$A$601,A482,$D$2:$D$601,D482)&gt;9,"Más de 9 h en el día. ","")&amp;IF(AND(B482&lt;&gt;"",C482&lt;&gt;"",C482&lt;B482),"Cruza la medianoche. ","")&amp;IF(LEN(TRIM(F482))&lt;15,"Sin descripción suficiente. ","")&amp;IF(AND(ISERROR(SEARCH("R-0",F482)),ISERROR(SEARCH("CU-",F482))),"Sin ticket. ","")&amp;IF(ISNA(MATCH(E482,Datos!$E$8:$E$22,0)),"Proyecto sin valor hora. ","")&amp;IF(ISNA(MATCH(D482,Datos!$A$8:$A$22,0)),"Persona fuera del equipo. ","")))</f>
        <v/>
      </c>
      <c r="I482" s="21" t="n"/>
      <c r="J482" s="22" t="n"/>
      <c r="K482" s="23">
        <f>IF(G482="","",IF(J482&lt;&gt;"",MIN(J482,G482),IF(OR(I482="Observada",I482="Rechazada"),0,G482)))</f>
        <v/>
      </c>
      <c r="L482" s="24" t="n"/>
      <c r="M482" s="25">
        <f>IF(OR(A482="",D482=""),0,IF(COUNTIFS($A$2:A482,A482,$D$2:D482,D482)=1,1,0))</f>
        <v/>
      </c>
    </row>
    <row r="483">
      <c r="A483" s="26" t="n"/>
      <c r="B483" s="27" t="n"/>
      <c r="C483" s="27" t="n"/>
      <c r="D483" s="28" t="n"/>
      <c r="E483" s="28" t="n"/>
      <c r="F483" s="29" t="n"/>
      <c r="G483" s="30" t="n"/>
      <c r="H483" s="20">
        <f>IF(A483="","",TRIM(IF(WEEKDAY(A483,2)&gt;5,"Fin de semana. ","")&amp;IF(SUMIFS($G$2:$G$601,$A$2:$A$601,A483,$D$2:$D$601,D483)&gt;9,"Más de 9 h en el día. ","")&amp;IF(AND(B483&lt;&gt;"",C483&lt;&gt;"",C483&lt;B483),"Cruza la medianoche. ","")&amp;IF(LEN(TRIM(F483))&lt;15,"Sin descripción suficiente. ","")&amp;IF(AND(ISERROR(SEARCH("R-0",F483)),ISERROR(SEARCH("CU-",F483))),"Sin ticket. ","")&amp;IF(ISNA(MATCH(E483,Datos!$E$8:$E$22,0)),"Proyecto sin valor hora. ","")&amp;IF(ISNA(MATCH(D483,Datos!$A$8:$A$22,0)),"Persona fuera del equipo. ","")))</f>
        <v/>
      </c>
      <c r="I483" s="21" t="n"/>
      <c r="J483" s="22" t="n"/>
      <c r="K483" s="23">
        <f>IF(G483="","",IF(J483&lt;&gt;"",MIN(J483,G483),IF(OR(I483="Observada",I483="Rechazada"),0,G483)))</f>
        <v/>
      </c>
      <c r="L483" s="24" t="n"/>
      <c r="M483" s="25">
        <f>IF(OR(A483="",D483=""),0,IF(COUNTIFS($A$2:A483,A483,$D$2:D483,D483)=1,1,0))</f>
        <v/>
      </c>
    </row>
    <row r="484">
      <c r="A484" s="26" t="n"/>
      <c r="B484" s="27" t="n"/>
      <c r="C484" s="27" t="n"/>
      <c r="D484" s="28" t="n"/>
      <c r="E484" s="28" t="n"/>
      <c r="F484" s="29" t="n"/>
      <c r="G484" s="30" t="n"/>
      <c r="H484" s="20">
        <f>IF(A484="","",TRIM(IF(WEEKDAY(A484,2)&gt;5,"Fin de semana. ","")&amp;IF(SUMIFS($G$2:$G$601,$A$2:$A$601,A484,$D$2:$D$601,D484)&gt;9,"Más de 9 h en el día. ","")&amp;IF(AND(B484&lt;&gt;"",C484&lt;&gt;"",C484&lt;B484),"Cruza la medianoche. ","")&amp;IF(LEN(TRIM(F484))&lt;15,"Sin descripción suficiente. ","")&amp;IF(AND(ISERROR(SEARCH("R-0",F484)),ISERROR(SEARCH("CU-",F484))),"Sin ticket. ","")&amp;IF(ISNA(MATCH(E484,Datos!$E$8:$E$22,0)),"Proyecto sin valor hora. ","")&amp;IF(ISNA(MATCH(D484,Datos!$A$8:$A$22,0)),"Persona fuera del equipo. ","")))</f>
        <v/>
      </c>
      <c r="I484" s="21" t="n"/>
      <c r="J484" s="22" t="n"/>
      <c r="K484" s="23">
        <f>IF(G484="","",IF(J484&lt;&gt;"",MIN(J484,G484),IF(OR(I484="Observada",I484="Rechazada"),0,G484)))</f>
        <v/>
      </c>
      <c r="L484" s="24" t="n"/>
      <c r="M484" s="25">
        <f>IF(OR(A484="",D484=""),0,IF(COUNTIFS($A$2:A484,A484,$D$2:D484,D484)=1,1,0))</f>
        <v/>
      </c>
    </row>
    <row r="485">
      <c r="A485" s="26" t="n"/>
      <c r="B485" s="27" t="n"/>
      <c r="C485" s="27" t="n"/>
      <c r="D485" s="28" t="n"/>
      <c r="E485" s="28" t="n"/>
      <c r="F485" s="29" t="n"/>
      <c r="G485" s="30" t="n"/>
      <c r="H485" s="20">
        <f>IF(A485="","",TRIM(IF(WEEKDAY(A485,2)&gt;5,"Fin de semana. ","")&amp;IF(SUMIFS($G$2:$G$601,$A$2:$A$601,A485,$D$2:$D$601,D485)&gt;9,"Más de 9 h en el día. ","")&amp;IF(AND(B485&lt;&gt;"",C485&lt;&gt;"",C485&lt;B485),"Cruza la medianoche. ","")&amp;IF(LEN(TRIM(F485))&lt;15,"Sin descripción suficiente. ","")&amp;IF(AND(ISERROR(SEARCH("R-0",F485)),ISERROR(SEARCH("CU-",F485))),"Sin ticket. ","")&amp;IF(ISNA(MATCH(E485,Datos!$E$8:$E$22,0)),"Proyecto sin valor hora. ","")&amp;IF(ISNA(MATCH(D485,Datos!$A$8:$A$22,0)),"Persona fuera del equipo. ","")))</f>
        <v/>
      </c>
      <c r="I485" s="21" t="n"/>
      <c r="J485" s="22" t="n"/>
      <c r="K485" s="23">
        <f>IF(G485="","",IF(J485&lt;&gt;"",MIN(J485,G485),IF(OR(I485="Observada",I485="Rechazada"),0,G485)))</f>
        <v/>
      </c>
      <c r="L485" s="24" t="n"/>
      <c r="M485" s="25">
        <f>IF(OR(A485="",D485=""),0,IF(COUNTIFS($A$2:A485,A485,$D$2:D485,D485)=1,1,0))</f>
        <v/>
      </c>
    </row>
    <row r="486">
      <c r="A486" s="26" t="n"/>
      <c r="B486" s="27" t="n"/>
      <c r="C486" s="27" t="n"/>
      <c r="D486" s="28" t="n"/>
      <c r="E486" s="28" t="n"/>
      <c r="F486" s="29" t="n"/>
      <c r="G486" s="30" t="n"/>
      <c r="H486" s="20">
        <f>IF(A486="","",TRIM(IF(WEEKDAY(A486,2)&gt;5,"Fin de semana. ","")&amp;IF(SUMIFS($G$2:$G$601,$A$2:$A$601,A486,$D$2:$D$601,D486)&gt;9,"Más de 9 h en el día. ","")&amp;IF(AND(B486&lt;&gt;"",C486&lt;&gt;"",C486&lt;B486),"Cruza la medianoche. ","")&amp;IF(LEN(TRIM(F486))&lt;15,"Sin descripción suficiente. ","")&amp;IF(AND(ISERROR(SEARCH("R-0",F486)),ISERROR(SEARCH("CU-",F486))),"Sin ticket. ","")&amp;IF(ISNA(MATCH(E486,Datos!$E$8:$E$22,0)),"Proyecto sin valor hora. ","")&amp;IF(ISNA(MATCH(D486,Datos!$A$8:$A$22,0)),"Persona fuera del equipo. ","")))</f>
        <v/>
      </c>
      <c r="I486" s="21" t="n"/>
      <c r="J486" s="22" t="n"/>
      <c r="K486" s="23">
        <f>IF(G486="","",IF(J486&lt;&gt;"",MIN(J486,G486),IF(OR(I486="Observada",I486="Rechazada"),0,G486)))</f>
        <v/>
      </c>
      <c r="L486" s="24" t="n"/>
      <c r="M486" s="25">
        <f>IF(OR(A486="",D486=""),0,IF(COUNTIFS($A$2:A486,A486,$D$2:D486,D486)=1,1,0))</f>
        <v/>
      </c>
    </row>
    <row r="487">
      <c r="A487" s="26" t="n"/>
      <c r="B487" s="27" t="n"/>
      <c r="C487" s="27" t="n"/>
      <c r="D487" s="28" t="n"/>
      <c r="E487" s="28" t="n"/>
      <c r="F487" s="29" t="n"/>
      <c r="G487" s="30" t="n"/>
      <c r="H487" s="20">
        <f>IF(A487="","",TRIM(IF(WEEKDAY(A487,2)&gt;5,"Fin de semana. ","")&amp;IF(SUMIFS($G$2:$G$601,$A$2:$A$601,A487,$D$2:$D$601,D487)&gt;9,"Más de 9 h en el día. ","")&amp;IF(AND(B487&lt;&gt;"",C487&lt;&gt;"",C487&lt;B487),"Cruza la medianoche. ","")&amp;IF(LEN(TRIM(F487))&lt;15,"Sin descripción suficiente. ","")&amp;IF(AND(ISERROR(SEARCH("R-0",F487)),ISERROR(SEARCH("CU-",F487))),"Sin ticket. ","")&amp;IF(ISNA(MATCH(E487,Datos!$E$8:$E$22,0)),"Proyecto sin valor hora. ","")&amp;IF(ISNA(MATCH(D487,Datos!$A$8:$A$22,0)),"Persona fuera del equipo. ","")))</f>
        <v/>
      </c>
      <c r="I487" s="21" t="n"/>
      <c r="J487" s="22" t="n"/>
      <c r="K487" s="23">
        <f>IF(G487="","",IF(J487&lt;&gt;"",MIN(J487,G487),IF(OR(I487="Observada",I487="Rechazada"),0,G487)))</f>
        <v/>
      </c>
      <c r="L487" s="24" t="n"/>
      <c r="M487" s="25">
        <f>IF(OR(A487="",D487=""),0,IF(COUNTIFS($A$2:A487,A487,$D$2:D487,D487)=1,1,0))</f>
        <v/>
      </c>
    </row>
    <row r="488">
      <c r="A488" s="26" t="n"/>
      <c r="B488" s="27" t="n"/>
      <c r="C488" s="27" t="n"/>
      <c r="D488" s="28" t="n"/>
      <c r="E488" s="28" t="n"/>
      <c r="F488" s="29" t="n"/>
      <c r="G488" s="30" t="n"/>
      <c r="H488" s="20">
        <f>IF(A488="","",TRIM(IF(WEEKDAY(A488,2)&gt;5,"Fin de semana. ","")&amp;IF(SUMIFS($G$2:$G$601,$A$2:$A$601,A488,$D$2:$D$601,D488)&gt;9,"Más de 9 h en el día. ","")&amp;IF(AND(B488&lt;&gt;"",C488&lt;&gt;"",C488&lt;B488),"Cruza la medianoche. ","")&amp;IF(LEN(TRIM(F488))&lt;15,"Sin descripción suficiente. ","")&amp;IF(AND(ISERROR(SEARCH("R-0",F488)),ISERROR(SEARCH("CU-",F488))),"Sin ticket. ","")&amp;IF(ISNA(MATCH(E488,Datos!$E$8:$E$22,0)),"Proyecto sin valor hora. ","")&amp;IF(ISNA(MATCH(D488,Datos!$A$8:$A$22,0)),"Persona fuera del equipo. ","")))</f>
        <v/>
      </c>
      <c r="I488" s="21" t="n"/>
      <c r="J488" s="22" t="n"/>
      <c r="K488" s="23">
        <f>IF(G488="","",IF(J488&lt;&gt;"",MIN(J488,G488),IF(OR(I488="Observada",I488="Rechazada"),0,G488)))</f>
        <v/>
      </c>
      <c r="L488" s="24" t="n"/>
      <c r="M488" s="25">
        <f>IF(OR(A488="",D488=""),0,IF(COUNTIFS($A$2:A488,A488,$D$2:D488,D488)=1,1,0))</f>
        <v/>
      </c>
    </row>
    <row r="489">
      <c r="A489" s="26" t="n"/>
      <c r="B489" s="27" t="n"/>
      <c r="C489" s="27" t="n"/>
      <c r="D489" s="28" t="n"/>
      <c r="E489" s="28" t="n"/>
      <c r="F489" s="29" t="n"/>
      <c r="G489" s="30" t="n"/>
      <c r="H489" s="20">
        <f>IF(A489="","",TRIM(IF(WEEKDAY(A489,2)&gt;5,"Fin de semana. ","")&amp;IF(SUMIFS($G$2:$G$601,$A$2:$A$601,A489,$D$2:$D$601,D489)&gt;9,"Más de 9 h en el día. ","")&amp;IF(AND(B489&lt;&gt;"",C489&lt;&gt;"",C489&lt;B489),"Cruza la medianoche. ","")&amp;IF(LEN(TRIM(F489))&lt;15,"Sin descripción suficiente. ","")&amp;IF(AND(ISERROR(SEARCH("R-0",F489)),ISERROR(SEARCH("CU-",F489))),"Sin ticket. ","")&amp;IF(ISNA(MATCH(E489,Datos!$E$8:$E$22,0)),"Proyecto sin valor hora. ","")&amp;IF(ISNA(MATCH(D489,Datos!$A$8:$A$22,0)),"Persona fuera del equipo. ","")))</f>
        <v/>
      </c>
      <c r="I489" s="21" t="n"/>
      <c r="J489" s="22" t="n"/>
      <c r="K489" s="23">
        <f>IF(G489="","",IF(J489&lt;&gt;"",MIN(J489,G489),IF(OR(I489="Observada",I489="Rechazada"),0,G489)))</f>
        <v/>
      </c>
      <c r="L489" s="24" t="n"/>
      <c r="M489" s="25">
        <f>IF(OR(A489="",D489=""),0,IF(COUNTIFS($A$2:A489,A489,$D$2:D489,D489)=1,1,0))</f>
        <v/>
      </c>
    </row>
    <row r="490">
      <c r="A490" s="26" t="n"/>
      <c r="B490" s="27" t="n"/>
      <c r="C490" s="27" t="n"/>
      <c r="D490" s="28" t="n"/>
      <c r="E490" s="28" t="n"/>
      <c r="F490" s="29" t="n"/>
      <c r="G490" s="30" t="n"/>
      <c r="H490" s="20">
        <f>IF(A490="","",TRIM(IF(WEEKDAY(A490,2)&gt;5,"Fin de semana. ","")&amp;IF(SUMIFS($G$2:$G$601,$A$2:$A$601,A490,$D$2:$D$601,D490)&gt;9,"Más de 9 h en el día. ","")&amp;IF(AND(B490&lt;&gt;"",C490&lt;&gt;"",C490&lt;B490),"Cruza la medianoche. ","")&amp;IF(LEN(TRIM(F490))&lt;15,"Sin descripción suficiente. ","")&amp;IF(AND(ISERROR(SEARCH("R-0",F490)),ISERROR(SEARCH("CU-",F490))),"Sin ticket. ","")&amp;IF(ISNA(MATCH(E490,Datos!$E$8:$E$22,0)),"Proyecto sin valor hora. ","")&amp;IF(ISNA(MATCH(D490,Datos!$A$8:$A$22,0)),"Persona fuera del equipo. ","")))</f>
        <v/>
      </c>
      <c r="I490" s="21" t="n"/>
      <c r="J490" s="22" t="n"/>
      <c r="K490" s="23">
        <f>IF(G490="","",IF(J490&lt;&gt;"",MIN(J490,G490),IF(OR(I490="Observada",I490="Rechazada"),0,G490)))</f>
        <v/>
      </c>
      <c r="L490" s="24" t="n"/>
      <c r="M490" s="25">
        <f>IF(OR(A490="",D490=""),0,IF(COUNTIFS($A$2:A490,A490,$D$2:D490,D490)=1,1,0))</f>
        <v/>
      </c>
    </row>
    <row r="491">
      <c r="A491" s="26" t="n"/>
      <c r="B491" s="27" t="n"/>
      <c r="C491" s="27" t="n"/>
      <c r="D491" s="28" t="n"/>
      <c r="E491" s="28" t="n"/>
      <c r="F491" s="29" t="n"/>
      <c r="G491" s="30" t="n"/>
      <c r="H491" s="20">
        <f>IF(A491="","",TRIM(IF(WEEKDAY(A491,2)&gt;5,"Fin de semana. ","")&amp;IF(SUMIFS($G$2:$G$601,$A$2:$A$601,A491,$D$2:$D$601,D491)&gt;9,"Más de 9 h en el día. ","")&amp;IF(AND(B491&lt;&gt;"",C491&lt;&gt;"",C491&lt;B491),"Cruza la medianoche. ","")&amp;IF(LEN(TRIM(F491))&lt;15,"Sin descripción suficiente. ","")&amp;IF(AND(ISERROR(SEARCH("R-0",F491)),ISERROR(SEARCH("CU-",F491))),"Sin ticket. ","")&amp;IF(ISNA(MATCH(E491,Datos!$E$8:$E$22,0)),"Proyecto sin valor hora. ","")&amp;IF(ISNA(MATCH(D491,Datos!$A$8:$A$22,0)),"Persona fuera del equipo. ","")))</f>
        <v/>
      </c>
      <c r="I491" s="21" t="n"/>
      <c r="J491" s="22" t="n"/>
      <c r="K491" s="23">
        <f>IF(G491="","",IF(J491&lt;&gt;"",MIN(J491,G491),IF(OR(I491="Observada",I491="Rechazada"),0,G491)))</f>
        <v/>
      </c>
      <c r="L491" s="24" t="n"/>
      <c r="M491" s="25">
        <f>IF(OR(A491="",D491=""),0,IF(COUNTIFS($A$2:A491,A491,$D$2:D491,D491)=1,1,0))</f>
        <v/>
      </c>
    </row>
    <row r="492">
      <c r="A492" s="26" t="n"/>
      <c r="B492" s="27" t="n"/>
      <c r="C492" s="27" t="n"/>
      <c r="D492" s="28" t="n"/>
      <c r="E492" s="28" t="n"/>
      <c r="F492" s="29" t="n"/>
      <c r="G492" s="30" t="n"/>
      <c r="H492" s="20">
        <f>IF(A492="","",TRIM(IF(WEEKDAY(A492,2)&gt;5,"Fin de semana. ","")&amp;IF(SUMIFS($G$2:$G$601,$A$2:$A$601,A492,$D$2:$D$601,D492)&gt;9,"Más de 9 h en el día. ","")&amp;IF(AND(B492&lt;&gt;"",C492&lt;&gt;"",C492&lt;B492),"Cruza la medianoche. ","")&amp;IF(LEN(TRIM(F492))&lt;15,"Sin descripción suficiente. ","")&amp;IF(AND(ISERROR(SEARCH("R-0",F492)),ISERROR(SEARCH("CU-",F492))),"Sin ticket. ","")&amp;IF(ISNA(MATCH(E492,Datos!$E$8:$E$22,0)),"Proyecto sin valor hora. ","")&amp;IF(ISNA(MATCH(D492,Datos!$A$8:$A$22,0)),"Persona fuera del equipo. ","")))</f>
        <v/>
      </c>
      <c r="I492" s="21" t="n"/>
      <c r="J492" s="22" t="n"/>
      <c r="K492" s="23">
        <f>IF(G492="","",IF(J492&lt;&gt;"",MIN(J492,G492),IF(OR(I492="Observada",I492="Rechazada"),0,G492)))</f>
        <v/>
      </c>
      <c r="L492" s="24" t="n"/>
      <c r="M492" s="25">
        <f>IF(OR(A492="",D492=""),0,IF(COUNTIFS($A$2:A492,A492,$D$2:D492,D492)=1,1,0))</f>
        <v/>
      </c>
    </row>
    <row r="493">
      <c r="A493" s="26" t="n"/>
      <c r="B493" s="27" t="n"/>
      <c r="C493" s="27" t="n"/>
      <c r="D493" s="28" t="n"/>
      <c r="E493" s="28" t="n"/>
      <c r="F493" s="29" t="n"/>
      <c r="G493" s="30" t="n"/>
      <c r="H493" s="20">
        <f>IF(A493="","",TRIM(IF(WEEKDAY(A493,2)&gt;5,"Fin de semana. ","")&amp;IF(SUMIFS($G$2:$G$601,$A$2:$A$601,A493,$D$2:$D$601,D493)&gt;9,"Más de 9 h en el día. ","")&amp;IF(AND(B493&lt;&gt;"",C493&lt;&gt;"",C493&lt;B493),"Cruza la medianoche. ","")&amp;IF(LEN(TRIM(F493))&lt;15,"Sin descripción suficiente. ","")&amp;IF(AND(ISERROR(SEARCH("R-0",F493)),ISERROR(SEARCH("CU-",F493))),"Sin ticket. ","")&amp;IF(ISNA(MATCH(E493,Datos!$E$8:$E$22,0)),"Proyecto sin valor hora. ","")&amp;IF(ISNA(MATCH(D493,Datos!$A$8:$A$22,0)),"Persona fuera del equipo. ","")))</f>
        <v/>
      </c>
      <c r="I493" s="21" t="n"/>
      <c r="J493" s="22" t="n"/>
      <c r="K493" s="23">
        <f>IF(G493="","",IF(J493&lt;&gt;"",MIN(J493,G493),IF(OR(I493="Observada",I493="Rechazada"),0,G493)))</f>
        <v/>
      </c>
      <c r="L493" s="24" t="n"/>
      <c r="M493" s="25">
        <f>IF(OR(A493="",D493=""),0,IF(COUNTIFS($A$2:A493,A493,$D$2:D493,D493)=1,1,0))</f>
        <v/>
      </c>
    </row>
    <row r="494">
      <c r="A494" s="26" t="n"/>
      <c r="B494" s="27" t="n"/>
      <c r="C494" s="27" t="n"/>
      <c r="D494" s="28" t="n"/>
      <c r="E494" s="28" t="n"/>
      <c r="F494" s="29" t="n"/>
      <c r="G494" s="30" t="n"/>
      <c r="H494" s="20">
        <f>IF(A494="","",TRIM(IF(WEEKDAY(A494,2)&gt;5,"Fin de semana. ","")&amp;IF(SUMIFS($G$2:$G$601,$A$2:$A$601,A494,$D$2:$D$601,D494)&gt;9,"Más de 9 h en el día. ","")&amp;IF(AND(B494&lt;&gt;"",C494&lt;&gt;"",C494&lt;B494),"Cruza la medianoche. ","")&amp;IF(LEN(TRIM(F494))&lt;15,"Sin descripción suficiente. ","")&amp;IF(AND(ISERROR(SEARCH("R-0",F494)),ISERROR(SEARCH("CU-",F494))),"Sin ticket. ","")&amp;IF(ISNA(MATCH(E494,Datos!$E$8:$E$22,0)),"Proyecto sin valor hora. ","")&amp;IF(ISNA(MATCH(D494,Datos!$A$8:$A$22,0)),"Persona fuera del equipo. ","")))</f>
        <v/>
      </c>
      <c r="I494" s="21" t="n"/>
      <c r="J494" s="22" t="n"/>
      <c r="K494" s="23">
        <f>IF(G494="","",IF(J494&lt;&gt;"",MIN(J494,G494),IF(OR(I494="Observada",I494="Rechazada"),0,G494)))</f>
        <v/>
      </c>
      <c r="L494" s="24" t="n"/>
      <c r="M494" s="25">
        <f>IF(OR(A494="",D494=""),0,IF(COUNTIFS($A$2:A494,A494,$D$2:D494,D494)=1,1,0))</f>
        <v/>
      </c>
    </row>
    <row r="495">
      <c r="A495" s="26" t="n"/>
      <c r="B495" s="27" t="n"/>
      <c r="C495" s="27" t="n"/>
      <c r="D495" s="28" t="n"/>
      <c r="E495" s="28" t="n"/>
      <c r="F495" s="29" t="n"/>
      <c r="G495" s="30" t="n"/>
      <c r="H495" s="20">
        <f>IF(A495="","",TRIM(IF(WEEKDAY(A495,2)&gt;5,"Fin de semana. ","")&amp;IF(SUMIFS($G$2:$G$601,$A$2:$A$601,A495,$D$2:$D$601,D495)&gt;9,"Más de 9 h en el día. ","")&amp;IF(AND(B495&lt;&gt;"",C495&lt;&gt;"",C495&lt;B495),"Cruza la medianoche. ","")&amp;IF(LEN(TRIM(F495))&lt;15,"Sin descripción suficiente. ","")&amp;IF(AND(ISERROR(SEARCH("R-0",F495)),ISERROR(SEARCH("CU-",F495))),"Sin ticket. ","")&amp;IF(ISNA(MATCH(E495,Datos!$E$8:$E$22,0)),"Proyecto sin valor hora. ","")&amp;IF(ISNA(MATCH(D495,Datos!$A$8:$A$22,0)),"Persona fuera del equipo. ","")))</f>
        <v/>
      </c>
      <c r="I495" s="21" t="n"/>
      <c r="J495" s="22" t="n"/>
      <c r="K495" s="23">
        <f>IF(G495="","",IF(J495&lt;&gt;"",MIN(J495,G495),IF(OR(I495="Observada",I495="Rechazada"),0,G495)))</f>
        <v/>
      </c>
      <c r="L495" s="24" t="n"/>
      <c r="M495" s="25">
        <f>IF(OR(A495="",D495=""),0,IF(COUNTIFS($A$2:A495,A495,$D$2:D495,D495)=1,1,0))</f>
        <v/>
      </c>
    </row>
    <row r="496">
      <c r="A496" s="26" t="n"/>
      <c r="B496" s="27" t="n"/>
      <c r="C496" s="27" t="n"/>
      <c r="D496" s="28" t="n"/>
      <c r="E496" s="28" t="n"/>
      <c r="F496" s="29" t="n"/>
      <c r="G496" s="30" t="n"/>
      <c r="H496" s="20">
        <f>IF(A496="","",TRIM(IF(WEEKDAY(A496,2)&gt;5,"Fin de semana. ","")&amp;IF(SUMIFS($G$2:$G$601,$A$2:$A$601,A496,$D$2:$D$601,D496)&gt;9,"Más de 9 h en el día. ","")&amp;IF(AND(B496&lt;&gt;"",C496&lt;&gt;"",C496&lt;B496),"Cruza la medianoche. ","")&amp;IF(LEN(TRIM(F496))&lt;15,"Sin descripción suficiente. ","")&amp;IF(AND(ISERROR(SEARCH("R-0",F496)),ISERROR(SEARCH("CU-",F496))),"Sin ticket. ","")&amp;IF(ISNA(MATCH(E496,Datos!$E$8:$E$22,0)),"Proyecto sin valor hora. ","")&amp;IF(ISNA(MATCH(D496,Datos!$A$8:$A$22,0)),"Persona fuera del equipo. ","")))</f>
        <v/>
      </c>
      <c r="I496" s="21" t="n"/>
      <c r="J496" s="22" t="n"/>
      <c r="K496" s="23">
        <f>IF(G496="","",IF(J496&lt;&gt;"",MIN(J496,G496),IF(OR(I496="Observada",I496="Rechazada"),0,G496)))</f>
        <v/>
      </c>
      <c r="L496" s="24" t="n"/>
      <c r="M496" s="25">
        <f>IF(OR(A496="",D496=""),0,IF(COUNTIFS($A$2:A496,A496,$D$2:D496,D496)=1,1,0))</f>
        <v/>
      </c>
    </row>
    <row r="497">
      <c r="A497" s="26" t="n"/>
      <c r="B497" s="27" t="n"/>
      <c r="C497" s="27" t="n"/>
      <c r="D497" s="28" t="n"/>
      <c r="E497" s="28" t="n"/>
      <c r="F497" s="29" t="n"/>
      <c r="G497" s="30" t="n"/>
      <c r="H497" s="20">
        <f>IF(A497="","",TRIM(IF(WEEKDAY(A497,2)&gt;5,"Fin de semana. ","")&amp;IF(SUMIFS($G$2:$G$601,$A$2:$A$601,A497,$D$2:$D$601,D497)&gt;9,"Más de 9 h en el día. ","")&amp;IF(AND(B497&lt;&gt;"",C497&lt;&gt;"",C497&lt;B497),"Cruza la medianoche. ","")&amp;IF(LEN(TRIM(F497))&lt;15,"Sin descripción suficiente. ","")&amp;IF(AND(ISERROR(SEARCH("R-0",F497)),ISERROR(SEARCH("CU-",F497))),"Sin ticket. ","")&amp;IF(ISNA(MATCH(E497,Datos!$E$8:$E$22,0)),"Proyecto sin valor hora. ","")&amp;IF(ISNA(MATCH(D497,Datos!$A$8:$A$22,0)),"Persona fuera del equipo. ","")))</f>
        <v/>
      </c>
      <c r="I497" s="21" t="n"/>
      <c r="J497" s="22" t="n"/>
      <c r="K497" s="23">
        <f>IF(G497="","",IF(J497&lt;&gt;"",MIN(J497,G497),IF(OR(I497="Observada",I497="Rechazada"),0,G497)))</f>
        <v/>
      </c>
      <c r="L497" s="24" t="n"/>
      <c r="M497" s="25">
        <f>IF(OR(A497="",D497=""),0,IF(COUNTIFS($A$2:A497,A497,$D$2:D497,D497)=1,1,0))</f>
        <v/>
      </c>
    </row>
    <row r="498">
      <c r="A498" s="26" t="n"/>
      <c r="B498" s="27" t="n"/>
      <c r="C498" s="27" t="n"/>
      <c r="D498" s="28" t="n"/>
      <c r="E498" s="28" t="n"/>
      <c r="F498" s="29" t="n"/>
      <c r="G498" s="30" t="n"/>
      <c r="H498" s="20">
        <f>IF(A498="","",TRIM(IF(WEEKDAY(A498,2)&gt;5,"Fin de semana. ","")&amp;IF(SUMIFS($G$2:$G$601,$A$2:$A$601,A498,$D$2:$D$601,D498)&gt;9,"Más de 9 h en el día. ","")&amp;IF(AND(B498&lt;&gt;"",C498&lt;&gt;"",C498&lt;B498),"Cruza la medianoche. ","")&amp;IF(LEN(TRIM(F498))&lt;15,"Sin descripción suficiente. ","")&amp;IF(AND(ISERROR(SEARCH("R-0",F498)),ISERROR(SEARCH("CU-",F498))),"Sin ticket. ","")&amp;IF(ISNA(MATCH(E498,Datos!$E$8:$E$22,0)),"Proyecto sin valor hora. ","")&amp;IF(ISNA(MATCH(D498,Datos!$A$8:$A$22,0)),"Persona fuera del equipo. ","")))</f>
        <v/>
      </c>
      <c r="I498" s="21" t="n"/>
      <c r="J498" s="22" t="n"/>
      <c r="K498" s="23">
        <f>IF(G498="","",IF(J498&lt;&gt;"",MIN(J498,G498),IF(OR(I498="Observada",I498="Rechazada"),0,G498)))</f>
        <v/>
      </c>
      <c r="L498" s="24" t="n"/>
      <c r="M498" s="25">
        <f>IF(OR(A498="",D498=""),0,IF(COUNTIFS($A$2:A498,A498,$D$2:D498,D498)=1,1,0))</f>
        <v/>
      </c>
    </row>
    <row r="499">
      <c r="A499" s="26" t="n"/>
      <c r="B499" s="27" t="n"/>
      <c r="C499" s="27" t="n"/>
      <c r="D499" s="28" t="n"/>
      <c r="E499" s="28" t="n"/>
      <c r="F499" s="29" t="n"/>
      <c r="G499" s="30" t="n"/>
      <c r="H499" s="20">
        <f>IF(A499="","",TRIM(IF(WEEKDAY(A499,2)&gt;5,"Fin de semana. ","")&amp;IF(SUMIFS($G$2:$G$601,$A$2:$A$601,A499,$D$2:$D$601,D499)&gt;9,"Más de 9 h en el día. ","")&amp;IF(AND(B499&lt;&gt;"",C499&lt;&gt;"",C499&lt;B499),"Cruza la medianoche. ","")&amp;IF(LEN(TRIM(F499))&lt;15,"Sin descripción suficiente. ","")&amp;IF(AND(ISERROR(SEARCH("R-0",F499)),ISERROR(SEARCH("CU-",F499))),"Sin ticket. ","")&amp;IF(ISNA(MATCH(E499,Datos!$E$8:$E$22,0)),"Proyecto sin valor hora. ","")&amp;IF(ISNA(MATCH(D499,Datos!$A$8:$A$22,0)),"Persona fuera del equipo. ","")))</f>
        <v/>
      </c>
      <c r="I499" s="21" t="n"/>
      <c r="J499" s="22" t="n"/>
      <c r="K499" s="23">
        <f>IF(G499="","",IF(J499&lt;&gt;"",MIN(J499,G499),IF(OR(I499="Observada",I499="Rechazada"),0,G499)))</f>
        <v/>
      </c>
      <c r="L499" s="24" t="n"/>
      <c r="M499" s="25">
        <f>IF(OR(A499="",D499=""),0,IF(COUNTIFS($A$2:A499,A499,$D$2:D499,D499)=1,1,0))</f>
        <v/>
      </c>
    </row>
    <row r="500">
      <c r="A500" s="26" t="n"/>
      <c r="B500" s="27" t="n"/>
      <c r="C500" s="27" t="n"/>
      <c r="D500" s="28" t="n"/>
      <c r="E500" s="28" t="n"/>
      <c r="F500" s="29" t="n"/>
      <c r="G500" s="30" t="n"/>
      <c r="H500" s="20">
        <f>IF(A500="","",TRIM(IF(WEEKDAY(A500,2)&gt;5,"Fin de semana. ","")&amp;IF(SUMIFS($G$2:$G$601,$A$2:$A$601,A500,$D$2:$D$601,D500)&gt;9,"Más de 9 h en el día. ","")&amp;IF(AND(B500&lt;&gt;"",C500&lt;&gt;"",C500&lt;B500),"Cruza la medianoche. ","")&amp;IF(LEN(TRIM(F500))&lt;15,"Sin descripción suficiente. ","")&amp;IF(AND(ISERROR(SEARCH("R-0",F500)),ISERROR(SEARCH("CU-",F500))),"Sin ticket. ","")&amp;IF(ISNA(MATCH(E500,Datos!$E$8:$E$22,0)),"Proyecto sin valor hora. ","")&amp;IF(ISNA(MATCH(D500,Datos!$A$8:$A$22,0)),"Persona fuera del equipo. ","")))</f>
        <v/>
      </c>
      <c r="I500" s="21" t="n"/>
      <c r="J500" s="22" t="n"/>
      <c r="K500" s="23">
        <f>IF(G500="","",IF(J500&lt;&gt;"",MIN(J500,G500),IF(OR(I500="Observada",I500="Rechazada"),0,G500)))</f>
        <v/>
      </c>
      <c r="L500" s="24" t="n"/>
      <c r="M500" s="25">
        <f>IF(OR(A500="",D500=""),0,IF(COUNTIFS($A$2:A500,A500,$D$2:D500,D500)=1,1,0))</f>
        <v/>
      </c>
    </row>
    <row r="501">
      <c r="A501" s="26" t="n"/>
      <c r="B501" s="27" t="n"/>
      <c r="C501" s="27" t="n"/>
      <c r="D501" s="28" t="n"/>
      <c r="E501" s="28" t="n"/>
      <c r="F501" s="29" t="n"/>
      <c r="G501" s="30" t="n"/>
      <c r="H501" s="20">
        <f>IF(A501="","",TRIM(IF(WEEKDAY(A501,2)&gt;5,"Fin de semana. ","")&amp;IF(SUMIFS($G$2:$G$601,$A$2:$A$601,A501,$D$2:$D$601,D501)&gt;9,"Más de 9 h en el día. ","")&amp;IF(AND(B501&lt;&gt;"",C501&lt;&gt;"",C501&lt;B501),"Cruza la medianoche. ","")&amp;IF(LEN(TRIM(F501))&lt;15,"Sin descripción suficiente. ","")&amp;IF(AND(ISERROR(SEARCH("R-0",F501)),ISERROR(SEARCH("CU-",F501))),"Sin ticket. ","")&amp;IF(ISNA(MATCH(E501,Datos!$E$8:$E$22,0)),"Proyecto sin valor hora. ","")&amp;IF(ISNA(MATCH(D501,Datos!$A$8:$A$22,0)),"Persona fuera del equipo. ","")))</f>
        <v/>
      </c>
      <c r="I501" s="21" t="n"/>
      <c r="J501" s="22" t="n"/>
      <c r="K501" s="23">
        <f>IF(G501="","",IF(J501&lt;&gt;"",MIN(J501,G501),IF(OR(I501="Observada",I501="Rechazada"),0,G501)))</f>
        <v/>
      </c>
      <c r="L501" s="24" t="n"/>
      <c r="M501" s="25">
        <f>IF(OR(A501="",D501=""),0,IF(COUNTIFS($A$2:A501,A501,$D$2:D501,D501)=1,1,0))</f>
        <v/>
      </c>
    </row>
    <row r="502">
      <c r="A502" s="26" t="n"/>
      <c r="B502" s="27" t="n"/>
      <c r="C502" s="27" t="n"/>
      <c r="D502" s="28" t="n"/>
      <c r="E502" s="28" t="n"/>
      <c r="F502" s="29" t="n"/>
      <c r="G502" s="30" t="n"/>
      <c r="H502" s="20">
        <f>IF(A502="","",TRIM(IF(WEEKDAY(A502,2)&gt;5,"Fin de semana. ","")&amp;IF(SUMIFS($G$2:$G$601,$A$2:$A$601,A502,$D$2:$D$601,D502)&gt;9,"Más de 9 h en el día. ","")&amp;IF(AND(B502&lt;&gt;"",C502&lt;&gt;"",C502&lt;B502),"Cruza la medianoche. ","")&amp;IF(LEN(TRIM(F502))&lt;15,"Sin descripción suficiente. ","")&amp;IF(AND(ISERROR(SEARCH("R-0",F502)),ISERROR(SEARCH("CU-",F502))),"Sin ticket. ","")&amp;IF(ISNA(MATCH(E502,Datos!$E$8:$E$22,0)),"Proyecto sin valor hora. ","")&amp;IF(ISNA(MATCH(D502,Datos!$A$8:$A$22,0)),"Persona fuera del equipo. ","")))</f>
        <v/>
      </c>
      <c r="I502" s="21" t="n"/>
      <c r="J502" s="22" t="n"/>
      <c r="K502" s="23">
        <f>IF(G502="","",IF(J502&lt;&gt;"",MIN(J502,G502),IF(OR(I502="Observada",I502="Rechazada"),0,G502)))</f>
        <v/>
      </c>
      <c r="L502" s="24" t="n"/>
      <c r="M502" s="25">
        <f>IF(OR(A502="",D502=""),0,IF(COUNTIFS($A$2:A502,A502,$D$2:D502,D502)=1,1,0))</f>
        <v/>
      </c>
    </row>
    <row r="503">
      <c r="A503" s="26" t="n"/>
      <c r="B503" s="27" t="n"/>
      <c r="C503" s="27" t="n"/>
      <c r="D503" s="28" t="n"/>
      <c r="E503" s="28" t="n"/>
      <c r="F503" s="29" t="n"/>
      <c r="G503" s="30" t="n"/>
      <c r="H503" s="20">
        <f>IF(A503="","",TRIM(IF(WEEKDAY(A503,2)&gt;5,"Fin de semana. ","")&amp;IF(SUMIFS($G$2:$G$601,$A$2:$A$601,A503,$D$2:$D$601,D503)&gt;9,"Más de 9 h en el día. ","")&amp;IF(AND(B503&lt;&gt;"",C503&lt;&gt;"",C503&lt;B503),"Cruza la medianoche. ","")&amp;IF(LEN(TRIM(F503))&lt;15,"Sin descripción suficiente. ","")&amp;IF(AND(ISERROR(SEARCH("R-0",F503)),ISERROR(SEARCH("CU-",F503))),"Sin ticket. ","")&amp;IF(ISNA(MATCH(E503,Datos!$E$8:$E$22,0)),"Proyecto sin valor hora. ","")&amp;IF(ISNA(MATCH(D503,Datos!$A$8:$A$22,0)),"Persona fuera del equipo. ","")))</f>
        <v/>
      </c>
      <c r="I503" s="21" t="n"/>
      <c r="J503" s="22" t="n"/>
      <c r="K503" s="23">
        <f>IF(G503="","",IF(J503&lt;&gt;"",MIN(J503,G503),IF(OR(I503="Observada",I503="Rechazada"),0,G503)))</f>
        <v/>
      </c>
      <c r="L503" s="24" t="n"/>
      <c r="M503" s="25">
        <f>IF(OR(A503="",D503=""),0,IF(COUNTIFS($A$2:A503,A503,$D$2:D503,D503)=1,1,0))</f>
        <v/>
      </c>
    </row>
    <row r="504">
      <c r="A504" s="26" t="n"/>
      <c r="B504" s="27" t="n"/>
      <c r="C504" s="27" t="n"/>
      <c r="D504" s="28" t="n"/>
      <c r="E504" s="28" t="n"/>
      <c r="F504" s="29" t="n"/>
      <c r="G504" s="30" t="n"/>
      <c r="H504" s="20">
        <f>IF(A504="","",TRIM(IF(WEEKDAY(A504,2)&gt;5,"Fin de semana. ","")&amp;IF(SUMIFS($G$2:$G$601,$A$2:$A$601,A504,$D$2:$D$601,D504)&gt;9,"Más de 9 h en el día. ","")&amp;IF(AND(B504&lt;&gt;"",C504&lt;&gt;"",C504&lt;B504),"Cruza la medianoche. ","")&amp;IF(LEN(TRIM(F504))&lt;15,"Sin descripción suficiente. ","")&amp;IF(AND(ISERROR(SEARCH("R-0",F504)),ISERROR(SEARCH("CU-",F504))),"Sin ticket. ","")&amp;IF(ISNA(MATCH(E504,Datos!$E$8:$E$22,0)),"Proyecto sin valor hora. ","")&amp;IF(ISNA(MATCH(D504,Datos!$A$8:$A$22,0)),"Persona fuera del equipo. ","")))</f>
        <v/>
      </c>
      <c r="I504" s="21" t="n"/>
      <c r="J504" s="22" t="n"/>
      <c r="K504" s="23">
        <f>IF(G504="","",IF(J504&lt;&gt;"",MIN(J504,G504),IF(OR(I504="Observada",I504="Rechazada"),0,G504)))</f>
        <v/>
      </c>
      <c r="L504" s="24" t="n"/>
      <c r="M504" s="25">
        <f>IF(OR(A504="",D504=""),0,IF(COUNTIFS($A$2:A504,A504,$D$2:D504,D504)=1,1,0))</f>
        <v/>
      </c>
    </row>
    <row r="505">
      <c r="A505" s="26" t="n"/>
      <c r="B505" s="27" t="n"/>
      <c r="C505" s="27" t="n"/>
      <c r="D505" s="28" t="n"/>
      <c r="E505" s="28" t="n"/>
      <c r="F505" s="29" t="n"/>
      <c r="G505" s="30" t="n"/>
      <c r="H505" s="20">
        <f>IF(A505="","",TRIM(IF(WEEKDAY(A505,2)&gt;5,"Fin de semana. ","")&amp;IF(SUMIFS($G$2:$G$601,$A$2:$A$601,A505,$D$2:$D$601,D505)&gt;9,"Más de 9 h en el día. ","")&amp;IF(AND(B505&lt;&gt;"",C505&lt;&gt;"",C505&lt;B505),"Cruza la medianoche. ","")&amp;IF(LEN(TRIM(F505))&lt;15,"Sin descripción suficiente. ","")&amp;IF(AND(ISERROR(SEARCH("R-0",F505)),ISERROR(SEARCH("CU-",F505))),"Sin ticket. ","")&amp;IF(ISNA(MATCH(E505,Datos!$E$8:$E$22,0)),"Proyecto sin valor hora. ","")&amp;IF(ISNA(MATCH(D505,Datos!$A$8:$A$22,0)),"Persona fuera del equipo. ","")))</f>
        <v/>
      </c>
      <c r="I505" s="21" t="n"/>
      <c r="J505" s="22" t="n"/>
      <c r="K505" s="23">
        <f>IF(G505="","",IF(J505&lt;&gt;"",MIN(J505,G505),IF(OR(I505="Observada",I505="Rechazada"),0,G505)))</f>
        <v/>
      </c>
      <c r="L505" s="24" t="n"/>
      <c r="M505" s="25">
        <f>IF(OR(A505="",D505=""),0,IF(COUNTIFS($A$2:A505,A505,$D$2:D505,D505)=1,1,0))</f>
        <v/>
      </c>
    </row>
    <row r="506">
      <c r="A506" s="26" t="n"/>
      <c r="B506" s="27" t="n"/>
      <c r="C506" s="27" t="n"/>
      <c r="D506" s="28" t="n"/>
      <c r="E506" s="28" t="n"/>
      <c r="F506" s="29" t="n"/>
      <c r="G506" s="30" t="n"/>
      <c r="H506" s="20">
        <f>IF(A506="","",TRIM(IF(WEEKDAY(A506,2)&gt;5,"Fin de semana. ","")&amp;IF(SUMIFS($G$2:$G$601,$A$2:$A$601,A506,$D$2:$D$601,D506)&gt;9,"Más de 9 h en el día. ","")&amp;IF(AND(B506&lt;&gt;"",C506&lt;&gt;"",C506&lt;B506),"Cruza la medianoche. ","")&amp;IF(LEN(TRIM(F506))&lt;15,"Sin descripción suficiente. ","")&amp;IF(AND(ISERROR(SEARCH("R-0",F506)),ISERROR(SEARCH("CU-",F506))),"Sin ticket. ","")&amp;IF(ISNA(MATCH(E506,Datos!$E$8:$E$22,0)),"Proyecto sin valor hora. ","")&amp;IF(ISNA(MATCH(D506,Datos!$A$8:$A$22,0)),"Persona fuera del equipo. ","")))</f>
        <v/>
      </c>
      <c r="I506" s="21" t="n"/>
      <c r="J506" s="22" t="n"/>
      <c r="K506" s="23">
        <f>IF(G506="","",IF(J506&lt;&gt;"",MIN(J506,G506),IF(OR(I506="Observada",I506="Rechazada"),0,G506)))</f>
        <v/>
      </c>
      <c r="L506" s="24" t="n"/>
      <c r="M506" s="25">
        <f>IF(OR(A506="",D506=""),0,IF(COUNTIFS($A$2:A506,A506,$D$2:D506,D506)=1,1,0))</f>
        <v/>
      </c>
    </row>
    <row r="507">
      <c r="A507" s="26" t="n"/>
      <c r="B507" s="27" t="n"/>
      <c r="C507" s="27" t="n"/>
      <c r="D507" s="28" t="n"/>
      <c r="E507" s="28" t="n"/>
      <c r="F507" s="29" t="n"/>
      <c r="G507" s="30" t="n"/>
      <c r="H507" s="20">
        <f>IF(A507="","",TRIM(IF(WEEKDAY(A507,2)&gt;5,"Fin de semana. ","")&amp;IF(SUMIFS($G$2:$G$601,$A$2:$A$601,A507,$D$2:$D$601,D507)&gt;9,"Más de 9 h en el día. ","")&amp;IF(AND(B507&lt;&gt;"",C507&lt;&gt;"",C507&lt;B507),"Cruza la medianoche. ","")&amp;IF(LEN(TRIM(F507))&lt;15,"Sin descripción suficiente. ","")&amp;IF(AND(ISERROR(SEARCH("R-0",F507)),ISERROR(SEARCH("CU-",F507))),"Sin ticket. ","")&amp;IF(ISNA(MATCH(E507,Datos!$E$8:$E$22,0)),"Proyecto sin valor hora. ","")&amp;IF(ISNA(MATCH(D507,Datos!$A$8:$A$22,0)),"Persona fuera del equipo. ","")))</f>
        <v/>
      </c>
      <c r="I507" s="21" t="n"/>
      <c r="J507" s="22" t="n"/>
      <c r="K507" s="23">
        <f>IF(G507="","",IF(J507&lt;&gt;"",MIN(J507,G507),IF(OR(I507="Observada",I507="Rechazada"),0,G507)))</f>
        <v/>
      </c>
      <c r="L507" s="24" t="n"/>
      <c r="M507" s="25">
        <f>IF(OR(A507="",D507=""),0,IF(COUNTIFS($A$2:A507,A507,$D$2:D507,D507)=1,1,0))</f>
        <v/>
      </c>
    </row>
    <row r="508">
      <c r="A508" s="26" t="n"/>
      <c r="B508" s="27" t="n"/>
      <c r="C508" s="27" t="n"/>
      <c r="D508" s="28" t="n"/>
      <c r="E508" s="28" t="n"/>
      <c r="F508" s="29" t="n"/>
      <c r="G508" s="30" t="n"/>
      <c r="H508" s="20">
        <f>IF(A508="","",TRIM(IF(WEEKDAY(A508,2)&gt;5,"Fin de semana. ","")&amp;IF(SUMIFS($G$2:$G$601,$A$2:$A$601,A508,$D$2:$D$601,D508)&gt;9,"Más de 9 h en el día. ","")&amp;IF(AND(B508&lt;&gt;"",C508&lt;&gt;"",C508&lt;B508),"Cruza la medianoche. ","")&amp;IF(LEN(TRIM(F508))&lt;15,"Sin descripción suficiente. ","")&amp;IF(AND(ISERROR(SEARCH("R-0",F508)),ISERROR(SEARCH("CU-",F508))),"Sin ticket. ","")&amp;IF(ISNA(MATCH(E508,Datos!$E$8:$E$22,0)),"Proyecto sin valor hora. ","")&amp;IF(ISNA(MATCH(D508,Datos!$A$8:$A$22,0)),"Persona fuera del equipo. ","")))</f>
        <v/>
      </c>
      <c r="I508" s="21" t="n"/>
      <c r="J508" s="22" t="n"/>
      <c r="K508" s="23">
        <f>IF(G508="","",IF(J508&lt;&gt;"",MIN(J508,G508),IF(OR(I508="Observada",I508="Rechazada"),0,G508)))</f>
        <v/>
      </c>
      <c r="L508" s="24" t="n"/>
      <c r="M508" s="25">
        <f>IF(OR(A508="",D508=""),0,IF(COUNTIFS($A$2:A508,A508,$D$2:D508,D508)=1,1,0))</f>
        <v/>
      </c>
    </row>
    <row r="509">
      <c r="A509" s="26" t="n"/>
      <c r="B509" s="27" t="n"/>
      <c r="C509" s="27" t="n"/>
      <c r="D509" s="28" t="n"/>
      <c r="E509" s="28" t="n"/>
      <c r="F509" s="29" t="n"/>
      <c r="G509" s="30" t="n"/>
      <c r="H509" s="20">
        <f>IF(A509="","",TRIM(IF(WEEKDAY(A509,2)&gt;5,"Fin de semana. ","")&amp;IF(SUMIFS($G$2:$G$601,$A$2:$A$601,A509,$D$2:$D$601,D509)&gt;9,"Más de 9 h en el día. ","")&amp;IF(AND(B509&lt;&gt;"",C509&lt;&gt;"",C509&lt;B509),"Cruza la medianoche. ","")&amp;IF(LEN(TRIM(F509))&lt;15,"Sin descripción suficiente. ","")&amp;IF(AND(ISERROR(SEARCH("R-0",F509)),ISERROR(SEARCH("CU-",F509))),"Sin ticket. ","")&amp;IF(ISNA(MATCH(E509,Datos!$E$8:$E$22,0)),"Proyecto sin valor hora. ","")&amp;IF(ISNA(MATCH(D509,Datos!$A$8:$A$22,0)),"Persona fuera del equipo. ","")))</f>
        <v/>
      </c>
      <c r="I509" s="21" t="n"/>
      <c r="J509" s="22" t="n"/>
      <c r="K509" s="23">
        <f>IF(G509="","",IF(J509&lt;&gt;"",MIN(J509,G509),IF(OR(I509="Observada",I509="Rechazada"),0,G509)))</f>
        <v/>
      </c>
      <c r="L509" s="24" t="n"/>
      <c r="M509" s="25">
        <f>IF(OR(A509="",D509=""),0,IF(COUNTIFS($A$2:A509,A509,$D$2:D509,D509)=1,1,0))</f>
        <v/>
      </c>
    </row>
    <row r="510">
      <c r="A510" s="26" t="n"/>
      <c r="B510" s="27" t="n"/>
      <c r="C510" s="27" t="n"/>
      <c r="D510" s="28" t="n"/>
      <c r="E510" s="28" t="n"/>
      <c r="F510" s="29" t="n"/>
      <c r="G510" s="30" t="n"/>
      <c r="H510" s="20">
        <f>IF(A510="","",TRIM(IF(WEEKDAY(A510,2)&gt;5,"Fin de semana. ","")&amp;IF(SUMIFS($G$2:$G$601,$A$2:$A$601,A510,$D$2:$D$601,D510)&gt;9,"Más de 9 h en el día. ","")&amp;IF(AND(B510&lt;&gt;"",C510&lt;&gt;"",C510&lt;B510),"Cruza la medianoche. ","")&amp;IF(LEN(TRIM(F510))&lt;15,"Sin descripción suficiente. ","")&amp;IF(AND(ISERROR(SEARCH("R-0",F510)),ISERROR(SEARCH("CU-",F510))),"Sin ticket. ","")&amp;IF(ISNA(MATCH(E510,Datos!$E$8:$E$22,0)),"Proyecto sin valor hora. ","")&amp;IF(ISNA(MATCH(D510,Datos!$A$8:$A$22,0)),"Persona fuera del equipo. ","")))</f>
        <v/>
      </c>
      <c r="I510" s="21" t="n"/>
      <c r="J510" s="22" t="n"/>
      <c r="K510" s="23">
        <f>IF(G510="","",IF(J510&lt;&gt;"",MIN(J510,G510),IF(OR(I510="Observada",I510="Rechazada"),0,G510)))</f>
        <v/>
      </c>
      <c r="L510" s="24" t="n"/>
      <c r="M510" s="25">
        <f>IF(OR(A510="",D510=""),0,IF(COUNTIFS($A$2:A510,A510,$D$2:D510,D510)=1,1,0))</f>
        <v/>
      </c>
    </row>
    <row r="511">
      <c r="A511" s="26" t="n"/>
      <c r="B511" s="27" t="n"/>
      <c r="C511" s="27" t="n"/>
      <c r="D511" s="28" t="n"/>
      <c r="E511" s="28" t="n"/>
      <c r="F511" s="29" t="n"/>
      <c r="G511" s="30" t="n"/>
      <c r="H511" s="20">
        <f>IF(A511="","",TRIM(IF(WEEKDAY(A511,2)&gt;5,"Fin de semana. ","")&amp;IF(SUMIFS($G$2:$G$601,$A$2:$A$601,A511,$D$2:$D$601,D511)&gt;9,"Más de 9 h en el día. ","")&amp;IF(AND(B511&lt;&gt;"",C511&lt;&gt;"",C511&lt;B511),"Cruza la medianoche. ","")&amp;IF(LEN(TRIM(F511))&lt;15,"Sin descripción suficiente. ","")&amp;IF(AND(ISERROR(SEARCH("R-0",F511)),ISERROR(SEARCH("CU-",F511))),"Sin ticket. ","")&amp;IF(ISNA(MATCH(E511,Datos!$E$8:$E$22,0)),"Proyecto sin valor hora. ","")&amp;IF(ISNA(MATCH(D511,Datos!$A$8:$A$22,0)),"Persona fuera del equipo. ","")))</f>
        <v/>
      </c>
      <c r="I511" s="21" t="n"/>
      <c r="J511" s="22" t="n"/>
      <c r="K511" s="23">
        <f>IF(G511="","",IF(J511&lt;&gt;"",MIN(J511,G511),IF(OR(I511="Observada",I511="Rechazada"),0,G511)))</f>
        <v/>
      </c>
      <c r="L511" s="24" t="n"/>
      <c r="M511" s="25">
        <f>IF(OR(A511="",D511=""),0,IF(COUNTIFS($A$2:A511,A511,$D$2:D511,D511)=1,1,0))</f>
        <v/>
      </c>
    </row>
    <row r="512">
      <c r="A512" s="26" t="n"/>
      <c r="B512" s="27" t="n"/>
      <c r="C512" s="27" t="n"/>
      <c r="D512" s="28" t="n"/>
      <c r="E512" s="28" t="n"/>
      <c r="F512" s="29" t="n"/>
      <c r="G512" s="30" t="n"/>
      <c r="H512" s="20">
        <f>IF(A512="","",TRIM(IF(WEEKDAY(A512,2)&gt;5,"Fin de semana. ","")&amp;IF(SUMIFS($G$2:$G$601,$A$2:$A$601,A512,$D$2:$D$601,D512)&gt;9,"Más de 9 h en el día. ","")&amp;IF(AND(B512&lt;&gt;"",C512&lt;&gt;"",C512&lt;B512),"Cruza la medianoche. ","")&amp;IF(LEN(TRIM(F512))&lt;15,"Sin descripción suficiente. ","")&amp;IF(AND(ISERROR(SEARCH("R-0",F512)),ISERROR(SEARCH("CU-",F512))),"Sin ticket. ","")&amp;IF(ISNA(MATCH(E512,Datos!$E$8:$E$22,0)),"Proyecto sin valor hora. ","")&amp;IF(ISNA(MATCH(D512,Datos!$A$8:$A$22,0)),"Persona fuera del equipo. ","")))</f>
        <v/>
      </c>
      <c r="I512" s="21" t="n"/>
      <c r="J512" s="22" t="n"/>
      <c r="K512" s="23">
        <f>IF(G512="","",IF(J512&lt;&gt;"",MIN(J512,G512),IF(OR(I512="Observada",I512="Rechazada"),0,G512)))</f>
        <v/>
      </c>
      <c r="L512" s="24" t="n"/>
      <c r="M512" s="25">
        <f>IF(OR(A512="",D512=""),0,IF(COUNTIFS($A$2:A512,A512,$D$2:D512,D512)=1,1,0))</f>
        <v/>
      </c>
    </row>
    <row r="513">
      <c r="A513" s="26" t="n"/>
      <c r="B513" s="27" t="n"/>
      <c r="C513" s="27" t="n"/>
      <c r="D513" s="28" t="n"/>
      <c r="E513" s="28" t="n"/>
      <c r="F513" s="29" t="n"/>
      <c r="G513" s="30" t="n"/>
      <c r="H513" s="20">
        <f>IF(A513="","",TRIM(IF(WEEKDAY(A513,2)&gt;5,"Fin de semana. ","")&amp;IF(SUMIFS($G$2:$G$601,$A$2:$A$601,A513,$D$2:$D$601,D513)&gt;9,"Más de 9 h en el día. ","")&amp;IF(AND(B513&lt;&gt;"",C513&lt;&gt;"",C513&lt;B513),"Cruza la medianoche. ","")&amp;IF(LEN(TRIM(F513))&lt;15,"Sin descripción suficiente. ","")&amp;IF(AND(ISERROR(SEARCH("R-0",F513)),ISERROR(SEARCH("CU-",F513))),"Sin ticket. ","")&amp;IF(ISNA(MATCH(E513,Datos!$E$8:$E$22,0)),"Proyecto sin valor hora. ","")&amp;IF(ISNA(MATCH(D513,Datos!$A$8:$A$22,0)),"Persona fuera del equipo. ","")))</f>
        <v/>
      </c>
      <c r="I513" s="21" t="n"/>
      <c r="J513" s="22" t="n"/>
      <c r="K513" s="23">
        <f>IF(G513="","",IF(J513&lt;&gt;"",MIN(J513,G513),IF(OR(I513="Observada",I513="Rechazada"),0,G513)))</f>
        <v/>
      </c>
      <c r="L513" s="24" t="n"/>
      <c r="M513" s="25">
        <f>IF(OR(A513="",D513=""),0,IF(COUNTIFS($A$2:A513,A513,$D$2:D513,D513)=1,1,0))</f>
        <v/>
      </c>
    </row>
    <row r="514">
      <c r="A514" s="26" t="n"/>
      <c r="B514" s="27" t="n"/>
      <c r="C514" s="27" t="n"/>
      <c r="D514" s="28" t="n"/>
      <c r="E514" s="28" t="n"/>
      <c r="F514" s="29" t="n"/>
      <c r="G514" s="30" t="n"/>
      <c r="H514" s="20">
        <f>IF(A514="","",TRIM(IF(WEEKDAY(A514,2)&gt;5,"Fin de semana. ","")&amp;IF(SUMIFS($G$2:$G$601,$A$2:$A$601,A514,$D$2:$D$601,D514)&gt;9,"Más de 9 h en el día. ","")&amp;IF(AND(B514&lt;&gt;"",C514&lt;&gt;"",C514&lt;B514),"Cruza la medianoche. ","")&amp;IF(LEN(TRIM(F514))&lt;15,"Sin descripción suficiente. ","")&amp;IF(AND(ISERROR(SEARCH("R-0",F514)),ISERROR(SEARCH("CU-",F514))),"Sin ticket. ","")&amp;IF(ISNA(MATCH(E514,Datos!$E$8:$E$22,0)),"Proyecto sin valor hora. ","")&amp;IF(ISNA(MATCH(D514,Datos!$A$8:$A$22,0)),"Persona fuera del equipo. ","")))</f>
        <v/>
      </c>
      <c r="I514" s="21" t="n"/>
      <c r="J514" s="22" t="n"/>
      <c r="K514" s="23">
        <f>IF(G514="","",IF(J514&lt;&gt;"",MIN(J514,G514),IF(OR(I514="Observada",I514="Rechazada"),0,G514)))</f>
        <v/>
      </c>
      <c r="L514" s="24" t="n"/>
      <c r="M514" s="25">
        <f>IF(OR(A514="",D514=""),0,IF(COUNTIFS($A$2:A514,A514,$D$2:D514,D514)=1,1,0))</f>
        <v/>
      </c>
    </row>
    <row r="515">
      <c r="A515" s="26" t="n"/>
      <c r="B515" s="27" t="n"/>
      <c r="C515" s="27" t="n"/>
      <c r="D515" s="28" t="n"/>
      <c r="E515" s="28" t="n"/>
      <c r="F515" s="29" t="n"/>
      <c r="G515" s="30" t="n"/>
      <c r="H515" s="20">
        <f>IF(A515="","",TRIM(IF(WEEKDAY(A515,2)&gt;5,"Fin de semana. ","")&amp;IF(SUMIFS($G$2:$G$601,$A$2:$A$601,A515,$D$2:$D$601,D515)&gt;9,"Más de 9 h en el día. ","")&amp;IF(AND(B515&lt;&gt;"",C515&lt;&gt;"",C515&lt;B515),"Cruza la medianoche. ","")&amp;IF(LEN(TRIM(F515))&lt;15,"Sin descripción suficiente. ","")&amp;IF(AND(ISERROR(SEARCH("R-0",F515)),ISERROR(SEARCH("CU-",F515))),"Sin ticket. ","")&amp;IF(ISNA(MATCH(E515,Datos!$E$8:$E$22,0)),"Proyecto sin valor hora. ","")&amp;IF(ISNA(MATCH(D515,Datos!$A$8:$A$22,0)),"Persona fuera del equipo. ","")))</f>
        <v/>
      </c>
      <c r="I515" s="21" t="n"/>
      <c r="J515" s="22" t="n"/>
      <c r="K515" s="23">
        <f>IF(G515="","",IF(J515&lt;&gt;"",MIN(J515,G515),IF(OR(I515="Observada",I515="Rechazada"),0,G515)))</f>
        <v/>
      </c>
      <c r="L515" s="24" t="n"/>
      <c r="M515" s="25">
        <f>IF(OR(A515="",D515=""),0,IF(COUNTIFS($A$2:A515,A515,$D$2:D515,D515)=1,1,0))</f>
        <v/>
      </c>
    </row>
    <row r="516">
      <c r="A516" s="26" t="n"/>
      <c r="B516" s="27" t="n"/>
      <c r="C516" s="27" t="n"/>
      <c r="D516" s="28" t="n"/>
      <c r="E516" s="28" t="n"/>
      <c r="F516" s="29" t="n"/>
      <c r="G516" s="30" t="n"/>
      <c r="H516" s="20">
        <f>IF(A516="","",TRIM(IF(WEEKDAY(A516,2)&gt;5,"Fin de semana. ","")&amp;IF(SUMIFS($G$2:$G$601,$A$2:$A$601,A516,$D$2:$D$601,D516)&gt;9,"Más de 9 h en el día. ","")&amp;IF(AND(B516&lt;&gt;"",C516&lt;&gt;"",C516&lt;B516),"Cruza la medianoche. ","")&amp;IF(LEN(TRIM(F516))&lt;15,"Sin descripción suficiente. ","")&amp;IF(AND(ISERROR(SEARCH("R-0",F516)),ISERROR(SEARCH("CU-",F516))),"Sin ticket. ","")&amp;IF(ISNA(MATCH(E516,Datos!$E$8:$E$22,0)),"Proyecto sin valor hora. ","")&amp;IF(ISNA(MATCH(D516,Datos!$A$8:$A$22,0)),"Persona fuera del equipo. ","")))</f>
        <v/>
      </c>
      <c r="I516" s="21" t="n"/>
      <c r="J516" s="22" t="n"/>
      <c r="K516" s="23">
        <f>IF(G516="","",IF(J516&lt;&gt;"",MIN(J516,G516),IF(OR(I516="Observada",I516="Rechazada"),0,G516)))</f>
        <v/>
      </c>
      <c r="L516" s="24" t="n"/>
      <c r="M516" s="25">
        <f>IF(OR(A516="",D516=""),0,IF(COUNTIFS($A$2:A516,A516,$D$2:D516,D516)=1,1,0))</f>
        <v/>
      </c>
    </row>
    <row r="517">
      <c r="A517" s="26" t="n"/>
      <c r="B517" s="27" t="n"/>
      <c r="C517" s="27" t="n"/>
      <c r="D517" s="28" t="n"/>
      <c r="E517" s="28" t="n"/>
      <c r="F517" s="29" t="n"/>
      <c r="G517" s="30" t="n"/>
      <c r="H517" s="20">
        <f>IF(A517="","",TRIM(IF(WEEKDAY(A517,2)&gt;5,"Fin de semana. ","")&amp;IF(SUMIFS($G$2:$G$601,$A$2:$A$601,A517,$D$2:$D$601,D517)&gt;9,"Más de 9 h en el día. ","")&amp;IF(AND(B517&lt;&gt;"",C517&lt;&gt;"",C517&lt;B517),"Cruza la medianoche. ","")&amp;IF(LEN(TRIM(F517))&lt;15,"Sin descripción suficiente. ","")&amp;IF(AND(ISERROR(SEARCH("R-0",F517)),ISERROR(SEARCH("CU-",F517))),"Sin ticket. ","")&amp;IF(ISNA(MATCH(E517,Datos!$E$8:$E$22,0)),"Proyecto sin valor hora. ","")&amp;IF(ISNA(MATCH(D517,Datos!$A$8:$A$22,0)),"Persona fuera del equipo. ","")))</f>
        <v/>
      </c>
      <c r="I517" s="21" t="n"/>
      <c r="J517" s="22" t="n"/>
      <c r="K517" s="23">
        <f>IF(G517="","",IF(J517&lt;&gt;"",MIN(J517,G517),IF(OR(I517="Observada",I517="Rechazada"),0,G517)))</f>
        <v/>
      </c>
      <c r="L517" s="24" t="n"/>
      <c r="M517" s="25">
        <f>IF(OR(A517="",D517=""),0,IF(COUNTIFS($A$2:A517,A517,$D$2:D517,D517)=1,1,0))</f>
        <v/>
      </c>
    </row>
    <row r="518">
      <c r="A518" s="26" t="n"/>
      <c r="B518" s="27" t="n"/>
      <c r="C518" s="27" t="n"/>
      <c r="D518" s="28" t="n"/>
      <c r="E518" s="28" t="n"/>
      <c r="F518" s="29" t="n"/>
      <c r="G518" s="30" t="n"/>
      <c r="H518" s="20">
        <f>IF(A518="","",TRIM(IF(WEEKDAY(A518,2)&gt;5,"Fin de semana. ","")&amp;IF(SUMIFS($G$2:$G$601,$A$2:$A$601,A518,$D$2:$D$601,D518)&gt;9,"Más de 9 h en el día. ","")&amp;IF(AND(B518&lt;&gt;"",C518&lt;&gt;"",C518&lt;B518),"Cruza la medianoche. ","")&amp;IF(LEN(TRIM(F518))&lt;15,"Sin descripción suficiente. ","")&amp;IF(AND(ISERROR(SEARCH("R-0",F518)),ISERROR(SEARCH("CU-",F518))),"Sin ticket. ","")&amp;IF(ISNA(MATCH(E518,Datos!$E$8:$E$22,0)),"Proyecto sin valor hora. ","")&amp;IF(ISNA(MATCH(D518,Datos!$A$8:$A$22,0)),"Persona fuera del equipo. ","")))</f>
        <v/>
      </c>
      <c r="I518" s="21" t="n"/>
      <c r="J518" s="22" t="n"/>
      <c r="K518" s="23">
        <f>IF(G518="","",IF(J518&lt;&gt;"",MIN(J518,G518),IF(OR(I518="Observada",I518="Rechazada"),0,G518)))</f>
        <v/>
      </c>
      <c r="L518" s="24" t="n"/>
      <c r="M518" s="25">
        <f>IF(OR(A518="",D518=""),0,IF(COUNTIFS($A$2:A518,A518,$D$2:D518,D518)=1,1,0))</f>
        <v/>
      </c>
    </row>
    <row r="519">
      <c r="A519" s="26" t="n"/>
      <c r="B519" s="27" t="n"/>
      <c r="C519" s="27" t="n"/>
      <c r="D519" s="28" t="n"/>
      <c r="E519" s="28" t="n"/>
      <c r="F519" s="29" t="n"/>
      <c r="G519" s="30" t="n"/>
      <c r="H519" s="20">
        <f>IF(A519="","",TRIM(IF(WEEKDAY(A519,2)&gt;5,"Fin de semana. ","")&amp;IF(SUMIFS($G$2:$G$601,$A$2:$A$601,A519,$D$2:$D$601,D519)&gt;9,"Más de 9 h en el día. ","")&amp;IF(AND(B519&lt;&gt;"",C519&lt;&gt;"",C519&lt;B519),"Cruza la medianoche. ","")&amp;IF(LEN(TRIM(F519))&lt;15,"Sin descripción suficiente. ","")&amp;IF(AND(ISERROR(SEARCH("R-0",F519)),ISERROR(SEARCH("CU-",F519))),"Sin ticket. ","")&amp;IF(ISNA(MATCH(E519,Datos!$E$8:$E$22,0)),"Proyecto sin valor hora. ","")&amp;IF(ISNA(MATCH(D519,Datos!$A$8:$A$22,0)),"Persona fuera del equipo. ","")))</f>
        <v/>
      </c>
      <c r="I519" s="21" t="n"/>
      <c r="J519" s="22" t="n"/>
      <c r="K519" s="23">
        <f>IF(G519="","",IF(J519&lt;&gt;"",MIN(J519,G519),IF(OR(I519="Observada",I519="Rechazada"),0,G519)))</f>
        <v/>
      </c>
      <c r="L519" s="24" t="n"/>
      <c r="M519" s="25">
        <f>IF(OR(A519="",D519=""),0,IF(COUNTIFS($A$2:A519,A519,$D$2:D519,D519)=1,1,0))</f>
        <v/>
      </c>
    </row>
    <row r="520">
      <c r="A520" s="26" t="n"/>
      <c r="B520" s="27" t="n"/>
      <c r="C520" s="27" t="n"/>
      <c r="D520" s="28" t="n"/>
      <c r="E520" s="28" t="n"/>
      <c r="F520" s="29" t="n"/>
      <c r="G520" s="30" t="n"/>
      <c r="H520" s="20">
        <f>IF(A520="","",TRIM(IF(WEEKDAY(A520,2)&gt;5,"Fin de semana. ","")&amp;IF(SUMIFS($G$2:$G$601,$A$2:$A$601,A520,$D$2:$D$601,D520)&gt;9,"Más de 9 h en el día. ","")&amp;IF(AND(B520&lt;&gt;"",C520&lt;&gt;"",C520&lt;B520),"Cruza la medianoche. ","")&amp;IF(LEN(TRIM(F520))&lt;15,"Sin descripción suficiente. ","")&amp;IF(AND(ISERROR(SEARCH("R-0",F520)),ISERROR(SEARCH("CU-",F520))),"Sin ticket. ","")&amp;IF(ISNA(MATCH(E520,Datos!$E$8:$E$22,0)),"Proyecto sin valor hora. ","")&amp;IF(ISNA(MATCH(D520,Datos!$A$8:$A$22,0)),"Persona fuera del equipo. ","")))</f>
        <v/>
      </c>
      <c r="I520" s="21" t="n"/>
      <c r="J520" s="22" t="n"/>
      <c r="K520" s="23">
        <f>IF(G520="","",IF(J520&lt;&gt;"",MIN(J520,G520),IF(OR(I520="Observada",I520="Rechazada"),0,G520)))</f>
        <v/>
      </c>
      <c r="L520" s="24" t="n"/>
      <c r="M520" s="25">
        <f>IF(OR(A520="",D520=""),0,IF(COUNTIFS($A$2:A520,A520,$D$2:D520,D520)=1,1,0))</f>
        <v/>
      </c>
    </row>
    <row r="521">
      <c r="A521" s="26" t="n"/>
      <c r="B521" s="27" t="n"/>
      <c r="C521" s="27" t="n"/>
      <c r="D521" s="28" t="n"/>
      <c r="E521" s="28" t="n"/>
      <c r="F521" s="29" t="n"/>
      <c r="G521" s="30" t="n"/>
      <c r="H521" s="20">
        <f>IF(A521="","",TRIM(IF(WEEKDAY(A521,2)&gt;5,"Fin de semana. ","")&amp;IF(SUMIFS($G$2:$G$601,$A$2:$A$601,A521,$D$2:$D$601,D521)&gt;9,"Más de 9 h en el día. ","")&amp;IF(AND(B521&lt;&gt;"",C521&lt;&gt;"",C521&lt;B521),"Cruza la medianoche. ","")&amp;IF(LEN(TRIM(F521))&lt;15,"Sin descripción suficiente. ","")&amp;IF(AND(ISERROR(SEARCH("R-0",F521)),ISERROR(SEARCH("CU-",F521))),"Sin ticket. ","")&amp;IF(ISNA(MATCH(E521,Datos!$E$8:$E$22,0)),"Proyecto sin valor hora. ","")&amp;IF(ISNA(MATCH(D521,Datos!$A$8:$A$22,0)),"Persona fuera del equipo. ","")))</f>
        <v/>
      </c>
      <c r="I521" s="21" t="n"/>
      <c r="J521" s="22" t="n"/>
      <c r="K521" s="23">
        <f>IF(G521="","",IF(J521&lt;&gt;"",MIN(J521,G521),IF(OR(I521="Observada",I521="Rechazada"),0,G521)))</f>
        <v/>
      </c>
      <c r="L521" s="24" t="n"/>
      <c r="M521" s="25">
        <f>IF(OR(A521="",D521=""),0,IF(COUNTIFS($A$2:A521,A521,$D$2:D521,D521)=1,1,0))</f>
        <v/>
      </c>
    </row>
    <row r="522">
      <c r="A522" s="26" t="n"/>
      <c r="B522" s="27" t="n"/>
      <c r="C522" s="27" t="n"/>
      <c r="D522" s="28" t="n"/>
      <c r="E522" s="28" t="n"/>
      <c r="F522" s="29" t="n"/>
      <c r="G522" s="30" t="n"/>
      <c r="H522" s="20">
        <f>IF(A522="","",TRIM(IF(WEEKDAY(A522,2)&gt;5,"Fin de semana. ","")&amp;IF(SUMIFS($G$2:$G$601,$A$2:$A$601,A522,$D$2:$D$601,D522)&gt;9,"Más de 9 h en el día. ","")&amp;IF(AND(B522&lt;&gt;"",C522&lt;&gt;"",C522&lt;B522),"Cruza la medianoche. ","")&amp;IF(LEN(TRIM(F522))&lt;15,"Sin descripción suficiente. ","")&amp;IF(AND(ISERROR(SEARCH("R-0",F522)),ISERROR(SEARCH("CU-",F522))),"Sin ticket. ","")&amp;IF(ISNA(MATCH(E522,Datos!$E$8:$E$22,0)),"Proyecto sin valor hora. ","")&amp;IF(ISNA(MATCH(D522,Datos!$A$8:$A$22,0)),"Persona fuera del equipo. ","")))</f>
        <v/>
      </c>
      <c r="I522" s="21" t="n"/>
      <c r="J522" s="22" t="n"/>
      <c r="K522" s="23">
        <f>IF(G522="","",IF(J522&lt;&gt;"",MIN(J522,G522),IF(OR(I522="Observada",I522="Rechazada"),0,G522)))</f>
        <v/>
      </c>
      <c r="L522" s="24" t="n"/>
      <c r="M522" s="25">
        <f>IF(OR(A522="",D522=""),0,IF(COUNTIFS($A$2:A522,A522,$D$2:D522,D522)=1,1,0))</f>
        <v/>
      </c>
    </row>
    <row r="523">
      <c r="A523" s="26" t="n"/>
      <c r="B523" s="27" t="n"/>
      <c r="C523" s="27" t="n"/>
      <c r="D523" s="28" t="n"/>
      <c r="E523" s="28" t="n"/>
      <c r="F523" s="29" t="n"/>
      <c r="G523" s="30" t="n"/>
      <c r="H523" s="20">
        <f>IF(A523="","",TRIM(IF(WEEKDAY(A523,2)&gt;5,"Fin de semana. ","")&amp;IF(SUMIFS($G$2:$G$601,$A$2:$A$601,A523,$D$2:$D$601,D523)&gt;9,"Más de 9 h en el día. ","")&amp;IF(AND(B523&lt;&gt;"",C523&lt;&gt;"",C523&lt;B523),"Cruza la medianoche. ","")&amp;IF(LEN(TRIM(F523))&lt;15,"Sin descripción suficiente. ","")&amp;IF(AND(ISERROR(SEARCH("R-0",F523)),ISERROR(SEARCH("CU-",F523))),"Sin ticket. ","")&amp;IF(ISNA(MATCH(E523,Datos!$E$8:$E$22,0)),"Proyecto sin valor hora. ","")&amp;IF(ISNA(MATCH(D523,Datos!$A$8:$A$22,0)),"Persona fuera del equipo. ","")))</f>
        <v/>
      </c>
      <c r="I523" s="21" t="n"/>
      <c r="J523" s="22" t="n"/>
      <c r="K523" s="23">
        <f>IF(G523="","",IF(J523&lt;&gt;"",MIN(J523,G523),IF(OR(I523="Observada",I523="Rechazada"),0,G523)))</f>
        <v/>
      </c>
      <c r="L523" s="24" t="n"/>
      <c r="M523" s="25">
        <f>IF(OR(A523="",D523=""),0,IF(COUNTIFS($A$2:A523,A523,$D$2:D523,D523)=1,1,0))</f>
        <v/>
      </c>
    </row>
    <row r="524">
      <c r="A524" s="26" t="n"/>
      <c r="B524" s="27" t="n"/>
      <c r="C524" s="27" t="n"/>
      <c r="D524" s="28" t="n"/>
      <c r="E524" s="28" t="n"/>
      <c r="F524" s="29" t="n"/>
      <c r="G524" s="30" t="n"/>
      <c r="H524" s="20">
        <f>IF(A524="","",TRIM(IF(WEEKDAY(A524,2)&gt;5,"Fin de semana. ","")&amp;IF(SUMIFS($G$2:$G$601,$A$2:$A$601,A524,$D$2:$D$601,D524)&gt;9,"Más de 9 h en el día. ","")&amp;IF(AND(B524&lt;&gt;"",C524&lt;&gt;"",C524&lt;B524),"Cruza la medianoche. ","")&amp;IF(LEN(TRIM(F524))&lt;15,"Sin descripción suficiente. ","")&amp;IF(AND(ISERROR(SEARCH("R-0",F524)),ISERROR(SEARCH("CU-",F524))),"Sin ticket. ","")&amp;IF(ISNA(MATCH(E524,Datos!$E$8:$E$22,0)),"Proyecto sin valor hora. ","")&amp;IF(ISNA(MATCH(D524,Datos!$A$8:$A$22,0)),"Persona fuera del equipo. ","")))</f>
        <v/>
      </c>
      <c r="I524" s="21" t="n"/>
      <c r="J524" s="22" t="n"/>
      <c r="K524" s="23">
        <f>IF(G524="","",IF(J524&lt;&gt;"",MIN(J524,G524),IF(OR(I524="Observada",I524="Rechazada"),0,G524)))</f>
        <v/>
      </c>
      <c r="L524" s="24" t="n"/>
      <c r="M524" s="25">
        <f>IF(OR(A524="",D524=""),0,IF(COUNTIFS($A$2:A524,A524,$D$2:D524,D524)=1,1,0))</f>
        <v/>
      </c>
    </row>
    <row r="525">
      <c r="A525" s="26" t="n"/>
      <c r="B525" s="27" t="n"/>
      <c r="C525" s="27" t="n"/>
      <c r="D525" s="28" t="n"/>
      <c r="E525" s="28" t="n"/>
      <c r="F525" s="29" t="n"/>
      <c r="G525" s="30" t="n"/>
      <c r="H525" s="20">
        <f>IF(A525="","",TRIM(IF(WEEKDAY(A525,2)&gt;5,"Fin de semana. ","")&amp;IF(SUMIFS($G$2:$G$601,$A$2:$A$601,A525,$D$2:$D$601,D525)&gt;9,"Más de 9 h en el día. ","")&amp;IF(AND(B525&lt;&gt;"",C525&lt;&gt;"",C525&lt;B525),"Cruza la medianoche. ","")&amp;IF(LEN(TRIM(F525))&lt;15,"Sin descripción suficiente. ","")&amp;IF(AND(ISERROR(SEARCH("R-0",F525)),ISERROR(SEARCH("CU-",F525))),"Sin ticket. ","")&amp;IF(ISNA(MATCH(E525,Datos!$E$8:$E$22,0)),"Proyecto sin valor hora. ","")&amp;IF(ISNA(MATCH(D525,Datos!$A$8:$A$22,0)),"Persona fuera del equipo. ","")))</f>
        <v/>
      </c>
      <c r="I525" s="21" t="n"/>
      <c r="J525" s="22" t="n"/>
      <c r="K525" s="23">
        <f>IF(G525="","",IF(J525&lt;&gt;"",MIN(J525,G525),IF(OR(I525="Observada",I525="Rechazada"),0,G525)))</f>
        <v/>
      </c>
      <c r="L525" s="24" t="n"/>
      <c r="M525" s="25">
        <f>IF(OR(A525="",D525=""),0,IF(COUNTIFS($A$2:A525,A525,$D$2:D525,D525)=1,1,0))</f>
        <v/>
      </c>
    </row>
    <row r="526">
      <c r="A526" s="26" t="n"/>
      <c r="B526" s="27" t="n"/>
      <c r="C526" s="27" t="n"/>
      <c r="D526" s="28" t="n"/>
      <c r="E526" s="28" t="n"/>
      <c r="F526" s="29" t="n"/>
      <c r="G526" s="30" t="n"/>
      <c r="H526" s="20">
        <f>IF(A526="","",TRIM(IF(WEEKDAY(A526,2)&gt;5,"Fin de semana. ","")&amp;IF(SUMIFS($G$2:$G$601,$A$2:$A$601,A526,$D$2:$D$601,D526)&gt;9,"Más de 9 h en el día. ","")&amp;IF(AND(B526&lt;&gt;"",C526&lt;&gt;"",C526&lt;B526),"Cruza la medianoche. ","")&amp;IF(LEN(TRIM(F526))&lt;15,"Sin descripción suficiente. ","")&amp;IF(AND(ISERROR(SEARCH("R-0",F526)),ISERROR(SEARCH("CU-",F526))),"Sin ticket. ","")&amp;IF(ISNA(MATCH(E526,Datos!$E$8:$E$22,0)),"Proyecto sin valor hora. ","")&amp;IF(ISNA(MATCH(D526,Datos!$A$8:$A$22,0)),"Persona fuera del equipo. ","")))</f>
        <v/>
      </c>
      <c r="I526" s="21" t="n"/>
      <c r="J526" s="22" t="n"/>
      <c r="K526" s="23">
        <f>IF(G526="","",IF(J526&lt;&gt;"",MIN(J526,G526),IF(OR(I526="Observada",I526="Rechazada"),0,G526)))</f>
        <v/>
      </c>
      <c r="L526" s="24" t="n"/>
      <c r="M526" s="25">
        <f>IF(OR(A526="",D526=""),0,IF(COUNTIFS($A$2:A526,A526,$D$2:D526,D526)=1,1,0))</f>
        <v/>
      </c>
    </row>
    <row r="527">
      <c r="A527" s="26" t="n"/>
      <c r="B527" s="27" t="n"/>
      <c r="C527" s="27" t="n"/>
      <c r="D527" s="28" t="n"/>
      <c r="E527" s="28" t="n"/>
      <c r="F527" s="29" t="n"/>
      <c r="G527" s="30" t="n"/>
      <c r="H527" s="20">
        <f>IF(A527="","",TRIM(IF(WEEKDAY(A527,2)&gt;5,"Fin de semana. ","")&amp;IF(SUMIFS($G$2:$G$601,$A$2:$A$601,A527,$D$2:$D$601,D527)&gt;9,"Más de 9 h en el día. ","")&amp;IF(AND(B527&lt;&gt;"",C527&lt;&gt;"",C527&lt;B527),"Cruza la medianoche. ","")&amp;IF(LEN(TRIM(F527))&lt;15,"Sin descripción suficiente. ","")&amp;IF(AND(ISERROR(SEARCH("R-0",F527)),ISERROR(SEARCH("CU-",F527))),"Sin ticket. ","")&amp;IF(ISNA(MATCH(E527,Datos!$E$8:$E$22,0)),"Proyecto sin valor hora. ","")&amp;IF(ISNA(MATCH(D527,Datos!$A$8:$A$22,0)),"Persona fuera del equipo. ","")))</f>
        <v/>
      </c>
      <c r="I527" s="21" t="n"/>
      <c r="J527" s="22" t="n"/>
      <c r="K527" s="23">
        <f>IF(G527="","",IF(J527&lt;&gt;"",MIN(J527,G527),IF(OR(I527="Observada",I527="Rechazada"),0,G527)))</f>
        <v/>
      </c>
      <c r="L527" s="24" t="n"/>
      <c r="M527" s="25">
        <f>IF(OR(A527="",D527=""),0,IF(COUNTIFS($A$2:A527,A527,$D$2:D527,D527)=1,1,0))</f>
        <v/>
      </c>
    </row>
    <row r="528">
      <c r="A528" s="26" t="n"/>
      <c r="B528" s="27" t="n"/>
      <c r="C528" s="27" t="n"/>
      <c r="D528" s="28" t="n"/>
      <c r="E528" s="28" t="n"/>
      <c r="F528" s="29" t="n"/>
      <c r="G528" s="30" t="n"/>
      <c r="H528" s="20">
        <f>IF(A528="","",TRIM(IF(WEEKDAY(A528,2)&gt;5,"Fin de semana. ","")&amp;IF(SUMIFS($G$2:$G$601,$A$2:$A$601,A528,$D$2:$D$601,D528)&gt;9,"Más de 9 h en el día. ","")&amp;IF(AND(B528&lt;&gt;"",C528&lt;&gt;"",C528&lt;B528),"Cruza la medianoche. ","")&amp;IF(LEN(TRIM(F528))&lt;15,"Sin descripción suficiente. ","")&amp;IF(AND(ISERROR(SEARCH("R-0",F528)),ISERROR(SEARCH("CU-",F528))),"Sin ticket. ","")&amp;IF(ISNA(MATCH(E528,Datos!$E$8:$E$22,0)),"Proyecto sin valor hora. ","")&amp;IF(ISNA(MATCH(D528,Datos!$A$8:$A$22,0)),"Persona fuera del equipo. ","")))</f>
        <v/>
      </c>
      <c r="I528" s="21" t="n"/>
      <c r="J528" s="22" t="n"/>
      <c r="K528" s="23">
        <f>IF(G528="","",IF(J528&lt;&gt;"",MIN(J528,G528),IF(OR(I528="Observada",I528="Rechazada"),0,G528)))</f>
        <v/>
      </c>
      <c r="L528" s="24" t="n"/>
      <c r="M528" s="25">
        <f>IF(OR(A528="",D528=""),0,IF(COUNTIFS($A$2:A528,A528,$D$2:D528,D528)=1,1,0))</f>
        <v/>
      </c>
    </row>
    <row r="529">
      <c r="A529" s="26" t="n"/>
      <c r="B529" s="27" t="n"/>
      <c r="C529" s="27" t="n"/>
      <c r="D529" s="28" t="n"/>
      <c r="E529" s="28" t="n"/>
      <c r="F529" s="29" t="n"/>
      <c r="G529" s="30" t="n"/>
      <c r="H529" s="20">
        <f>IF(A529="","",TRIM(IF(WEEKDAY(A529,2)&gt;5,"Fin de semana. ","")&amp;IF(SUMIFS($G$2:$G$601,$A$2:$A$601,A529,$D$2:$D$601,D529)&gt;9,"Más de 9 h en el día. ","")&amp;IF(AND(B529&lt;&gt;"",C529&lt;&gt;"",C529&lt;B529),"Cruza la medianoche. ","")&amp;IF(LEN(TRIM(F529))&lt;15,"Sin descripción suficiente. ","")&amp;IF(AND(ISERROR(SEARCH("R-0",F529)),ISERROR(SEARCH("CU-",F529))),"Sin ticket. ","")&amp;IF(ISNA(MATCH(E529,Datos!$E$8:$E$22,0)),"Proyecto sin valor hora. ","")&amp;IF(ISNA(MATCH(D529,Datos!$A$8:$A$22,0)),"Persona fuera del equipo. ","")))</f>
        <v/>
      </c>
      <c r="I529" s="21" t="n"/>
      <c r="J529" s="22" t="n"/>
      <c r="K529" s="23">
        <f>IF(G529="","",IF(J529&lt;&gt;"",MIN(J529,G529),IF(OR(I529="Observada",I529="Rechazada"),0,G529)))</f>
        <v/>
      </c>
      <c r="L529" s="24" t="n"/>
      <c r="M529" s="25">
        <f>IF(OR(A529="",D529=""),0,IF(COUNTIFS($A$2:A529,A529,$D$2:D529,D529)=1,1,0))</f>
        <v/>
      </c>
    </row>
    <row r="530">
      <c r="A530" s="26" t="n"/>
      <c r="B530" s="27" t="n"/>
      <c r="C530" s="27" t="n"/>
      <c r="D530" s="28" t="n"/>
      <c r="E530" s="28" t="n"/>
      <c r="F530" s="29" t="n"/>
      <c r="G530" s="30" t="n"/>
      <c r="H530" s="20">
        <f>IF(A530="","",TRIM(IF(WEEKDAY(A530,2)&gt;5,"Fin de semana. ","")&amp;IF(SUMIFS($G$2:$G$601,$A$2:$A$601,A530,$D$2:$D$601,D530)&gt;9,"Más de 9 h en el día. ","")&amp;IF(AND(B530&lt;&gt;"",C530&lt;&gt;"",C530&lt;B530),"Cruza la medianoche. ","")&amp;IF(LEN(TRIM(F530))&lt;15,"Sin descripción suficiente. ","")&amp;IF(AND(ISERROR(SEARCH("R-0",F530)),ISERROR(SEARCH("CU-",F530))),"Sin ticket. ","")&amp;IF(ISNA(MATCH(E530,Datos!$E$8:$E$22,0)),"Proyecto sin valor hora. ","")&amp;IF(ISNA(MATCH(D530,Datos!$A$8:$A$22,0)),"Persona fuera del equipo. ","")))</f>
        <v/>
      </c>
      <c r="I530" s="21" t="n"/>
      <c r="J530" s="22" t="n"/>
      <c r="K530" s="23">
        <f>IF(G530="","",IF(J530&lt;&gt;"",MIN(J530,G530),IF(OR(I530="Observada",I530="Rechazada"),0,G530)))</f>
        <v/>
      </c>
      <c r="L530" s="24" t="n"/>
      <c r="M530" s="25">
        <f>IF(OR(A530="",D530=""),0,IF(COUNTIFS($A$2:A530,A530,$D$2:D530,D530)=1,1,0))</f>
        <v/>
      </c>
    </row>
    <row r="531">
      <c r="A531" s="26" t="n"/>
      <c r="B531" s="27" t="n"/>
      <c r="C531" s="27" t="n"/>
      <c r="D531" s="28" t="n"/>
      <c r="E531" s="28" t="n"/>
      <c r="F531" s="29" t="n"/>
      <c r="G531" s="30" t="n"/>
      <c r="H531" s="20">
        <f>IF(A531="","",TRIM(IF(WEEKDAY(A531,2)&gt;5,"Fin de semana. ","")&amp;IF(SUMIFS($G$2:$G$601,$A$2:$A$601,A531,$D$2:$D$601,D531)&gt;9,"Más de 9 h en el día. ","")&amp;IF(AND(B531&lt;&gt;"",C531&lt;&gt;"",C531&lt;B531),"Cruza la medianoche. ","")&amp;IF(LEN(TRIM(F531))&lt;15,"Sin descripción suficiente. ","")&amp;IF(AND(ISERROR(SEARCH("R-0",F531)),ISERROR(SEARCH("CU-",F531))),"Sin ticket. ","")&amp;IF(ISNA(MATCH(E531,Datos!$E$8:$E$22,0)),"Proyecto sin valor hora. ","")&amp;IF(ISNA(MATCH(D531,Datos!$A$8:$A$22,0)),"Persona fuera del equipo. ","")))</f>
        <v/>
      </c>
      <c r="I531" s="21" t="n"/>
      <c r="J531" s="22" t="n"/>
      <c r="K531" s="23">
        <f>IF(G531="","",IF(J531&lt;&gt;"",MIN(J531,G531),IF(OR(I531="Observada",I531="Rechazada"),0,G531)))</f>
        <v/>
      </c>
      <c r="L531" s="24" t="n"/>
      <c r="M531" s="25">
        <f>IF(OR(A531="",D531=""),0,IF(COUNTIFS($A$2:A531,A531,$D$2:D531,D531)=1,1,0))</f>
        <v/>
      </c>
    </row>
    <row r="532">
      <c r="A532" s="26" t="n"/>
      <c r="B532" s="27" t="n"/>
      <c r="C532" s="27" t="n"/>
      <c r="D532" s="28" t="n"/>
      <c r="E532" s="28" t="n"/>
      <c r="F532" s="29" t="n"/>
      <c r="G532" s="30" t="n"/>
      <c r="H532" s="20">
        <f>IF(A532="","",TRIM(IF(WEEKDAY(A532,2)&gt;5,"Fin de semana. ","")&amp;IF(SUMIFS($G$2:$G$601,$A$2:$A$601,A532,$D$2:$D$601,D532)&gt;9,"Más de 9 h en el día. ","")&amp;IF(AND(B532&lt;&gt;"",C532&lt;&gt;"",C532&lt;B532),"Cruza la medianoche. ","")&amp;IF(LEN(TRIM(F532))&lt;15,"Sin descripción suficiente. ","")&amp;IF(AND(ISERROR(SEARCH("R-0",F532)),ISERROR(SEARCH("CU-",F532))),"Sin ticket. ","")&amp;IF(ISNA(MATCH(E532,Datos!$E$8:$E$22,0)),"Proyecto sin valor hora. ","")&amp;IF(ISNA(MATCH(D532,Datos!$A$8:$A$22,0)),"Persona fuera del equipo. ","")))</f>
        <v/>
      </c>
      <c r="I532" s="21" t="n"/>
      <c r="J532" s="22" t="n"/>
      <c r="K532" s="23">
        <f>IF(G532="","",IF(J532&lt;&gt;"",MIN(J532,G532),IF(OR(I532="Observada",I532="Rechazada"),0,G532)))</f>
        <v/>
      </c>
      <c r="L532" s="24" t="n"/>
      <c r="M532" s="25">
        <f>IF(OR(A532="",D532=""),0,IF(COUNTIFS($A$2:A532,A532,$D$2:D532,D532)=1,1,0))</f>
        <v/>
      </c>
    </row>
    <row r="533">
      <c r="A533" s="26" t="n"/>
      <c r="B533" s="27" t="n"/>
      <c r="C533" s="27" t="n"/>
      <c r="D533" s="28" t="n"/>
      <c r="E533" s="28" t="n"/>
      <c r="F533" s="29" t="n"/>
      <c r="G533" s="30" t="n"/>
      <c r="H533" s="20">
        <f>IF(A533="","",TRIM(IF(WEEKDAY(A533,2)&gt;5,"Fin de semana. ","")&amp;IF(SUMIFS($G$2:$G$601,$A$2:$A$601,A533,$D$2:$D$601,D533)&gt;9,"Más de 9 h en el día. ","")&amp;IF(AND(B533&lt;&gt;"",C533&lt;&gt;"",C533&lt;B533),"Cruza la medianoche. ","")&amp;IF(LEN(TRIM(F533))&lt;15,"Sin descripción suficiente. ","")&amp;IF(AND(ISERROR(SEARCH("R-0",F533)),ISERROR(SEARCH("CU-",F533))),"Sin ticket. ","")&amp;IF(ISNA(MATCH(E533,Datos!$E$8:$E$22,0)),"Proyecto sin valor hora. ","")&amp;IF(ISNA(MATCH(D533,Datos!$A$8:$A$22,0)),"Persona fuera del equipo. ","")))</f>
        <v/>
      </c>
      <c r="I533" s="21" t="n"/>
      <c r="J533" s="22" t="n"/>
      <c r="K533" s="23">
        <f>IF(G533="","",IF(J533&lt;&gt;"",MIN(J533,G533),IF(OR(I533="Observada",I533="Rechazada"),0,G533)))</f>
        <v/>
      </c>
      <c r="L533" s="24" t="n"/>
      <c r="M533" s="25">
        <f>IF(OR(A533="",D533=""),0,IF(COUNTIFS($A$2:A533,A533,$D$2:D533,D533)=1,1,0))</f>
        <v/>
      </c>
    </row>
    <row r="534">
      <c r="A534" s="26" t="n"/>
      <c r="B534" s="27" t="n"/>
      <c r="C534" s="27" t="n"/>
      <c r="D534" s="28" t="n"/>
      <c r="E534" s="28" t="n"/>
      <c r="F534" s="29" t="n"/>
      <c r="G534" s="30" t="n"/>
      <c r="H534" s="20">
        <f>IF(A534="","",TRIM(IF(WEEKDAY(A534,2)&gt;5,"Fin de semana. ","")&amp;IF(SUMIFS($G$2:$G$601,$A$2:$A$601,A534,$D$2:$D$601,D534)&gt;9,"Más de 9 h en el día. ","")&amp;IF(AND(B534&lt;&gt;"",C534&lt;&gt;"",C534&lt;B534),"Cruza la medianoche. ","")&amp;IF(LEN(TRIM(F534))&lt;15,"Sin descripción suficiente. ","")&amp;IF(AND(ISERROR(SEARCH("R-0",F534)),ISERROR(SEARCH("CU-",F534))),"Sin ticket. ","")&amp;IF(ISNA(MATCH(E534,Datos!$E$8:$E$22,0)),"Proyecto sin valor hora. ","")&amp;IF(ISNA(MATCH(D534,Datos!$A$8:$A$22,0)),"Persona fuera del equipo. ","")))</f>
        <v/>
      </c>
      <c r="I534" s="21" t="n"/>
      <c r="J534" s="22" t="n"/>
      <c r="K534" s="23">
        <f>IF(G534="","",IF(J534&lt;&gt;"",MIN(J534,G534),IF(OR(I534="Observada",I534="Rechazada"),0,G534)))</f>
        <v/>
      </c>
      <c r="L534" s="24" t="n"/>
      <c r="M534" s="25">
        <f>IF(OR(A534="",D534=""),0,IF(COUNTIFS($A$2:A534,A534,$D$2:D534,D534)=1,1,0))</f>
        <v/>
      </c>
    </row>
    <row r="535">
      <c r="A535" s="26" t="n"/>
      <c r="B535" s="27" t="n"/>
      <c r="C535" s="27" t="n"/>
      <c r="D535" s="28" t="n"/>
      <c r="E535" s="28" t="n"/>
      <c r="F535" s="29" t="n"/>
      <c r="G535" s="30" t="n"/>
      <c r="H535" s="20">
        <f>IF(A535="","",TRIM(IF(WEEKDAY(A535,2)&gt;5,"Fin de semana. ","")&amp;IF(SUMIFS($G$2:$G$601,$A$2:$A$601,A535,$D$2:$D$601,D535)&gt;9,"Más de 9 h en el día. ","")&amp;IF(AND(B535&lt;&gt;"",C535&lt;&gt;"",C535&lt;B535),"Cruza la medianoche. ","")&amp;IF(LEN(TRIM(F535))&lt;15,"Sin descripción suficiente. ","")&amp;IF(AND(ISERROR(SEARCH("R-0",F535)),ISERROR(SEARCH("CU-",F535))),"Sin ticket. ","")&amp;IF(ISNA(MATCH(E535,Datos!$E$8:$E$22,0)),"Proyecto sin valor hora. ","")&amp;IF(ISNA(MATCH(D535,Datos!$A$8:$A$22,0)),"Persona fuera del equipo. ","")))</f>
        <v/>
      </c>
      <c r="I535" s="21" t="n"/>
      <c r="J535" s="22" t="n"/>
      <c r="K535" s="23">
        <f>IF(G535="","",IF(J535&lt;&gt;"",MIN(J535,G535),IF(OR(I535="Observada",I535="Rechazada"),0,G535)))</f>
        <v/>
      </c>
      <c r="L535" s="24" t="n"/>
      <c r="M535" s="25">
        <f>IF(OR(A535="",D535=""),0,IF(COUNTIFS($A$2:A535,A535,$D$2:D535,D535)=1,1,0))</f>
        <v/>
      </c>
    </row>
    <row r="536">
      <c r="A536" s="26" t="n"/>
      <c r="B536" s="27" t="n"/>
      <c r="C536" s="27" t="n"/>
      <c r="D536" s="28" t="n"/>
      <c r="E536" s="28" t="n"/>
      <c r="F536" s="29" t="n"/>
      <c r="G536" s="30" t="n"/>
      <c r="H536" s="20">
        <f>IF(A536="","",TRIM(IF(WEEKDAY(A536,2)&gt;5,"Fin de semana. ","")&amp;IF(SUMIFS($G$2:$G$601,$A$2:$A$601,A536,$D$2:$D$601,D536)&gt;9,"Más de 9 h en el día. ","")&amp;IF(AND(B536&lt;&gt;"",C536&lt;&gt;"",C536&lt;B536),"Cruza la medianoche. ","")&amp;IF(LEN(TRIM(F536))&lt;15,"Sin descripción suficiente. ","")&amp;IF(AND(ISERROR(SEARCH("R-0",F536)),ISERROR(SEARCH("CU-",F536))),"Sin ticket. ","")&amp;IF(ISNA(MATCH(E536,Datos!$E$8:$E$22,0)),"Proyecto sin valor hora. ","")&amp;IF(ISNA(MATCH(D536,Datos!$A$8:$A$22,0)),"Persona fuera del equipo. ","")))</f>
        <v/>
      </c>
      <c r="I536" s="21" t="n"/>
      <c r="J536" s="22" t="n"/>
      <c r="K536" s="23">
        <f>IF(G536="","",IF(J536&lt;&gt;"",MIN(J536,G536),IF(OR(I536="Observada",I536="Rechazada"),0,G536)))</f>
        <v/>
      </c>
      <c r="L536" s="24" t="n"/>
      <c r="M536" s="25">
        <f>IF(OR(A536="",D536=""),0,IF(COUNTIFS($A$2:A536,A536,$D$2:D536,D536)=1,1,0))</f>
        <v/>
      </c>
    </row>
    <row r="537">
      <c r="A537" s="26" t="n"/>
      <c r="B537" s="27" t="n"/>
      <c r="C537" s="27" t="n"/>
      <c r="D537" s="28" t="n"/>
      <c r="E537" s="28" t="n"/>
      <c r="F537" s="29" t="n"/>
      <c r="G537" s="30" t="n"/>
      <c r="H537" s="20">
        <f>IF(A537="","",TRIM(IF(WEEKDAY(A537,2)&gt;5,"Fin de semana. ","")&amp;IF(SUMIFS($G$2:$G$601,$A$2:$A$601,A537,$D$2:$D$601,D537)&gt;9,"Más de 9 h en el día. ","")&amp;IF(AND(B537&lt;&gt;"",C537&lt;&gt;"",C537&lt;B537),"Cruza la medianoche. ","")&amp;IF(LEN(TRIM(F537))&lt;15,"Sin descripción suficiente. ","")&amp;IF(AND(ISERROR(SEARCH("R-0",F537)),ISERROR(SEARCH("CU-",F537))),"Sin ticket. ","")&amp;IF(ISNA(MATCH(E537,Datos!$E$8:$E$22,0)),"Proyecto sin valor hora. ","")&amp;IF(ISNA(MATCH(D537,Datos!$A$8:$A$22,0)),"Persona fuera del equipo. ","")))</f>
        <v/>
      </c>
      <c r="I537" s="21" t="n"/>
      <c r="J537" s="22" t="n"/>
      <c r="K537" s="23">
        <f>IF(G537="","",IF(J537&lt;&gt;"",MIN(J537,G537),IF(OR(I537="Observada",I537="Rechazada"),0,G537)))</f>
        <v/>
      </c>
      <c r="L537" s="24" t="n"/>
      <c r="M537" s="25">
        <f>IF(OR(A537="",D537=""),0,IF(COUNTIFS($A$2:A537,A537,$D$2:D537,D537)=1,1,0))</f>
        <v/>
      </c>
    </row>
    <row r="538">
      <c r="A538" s="26" t="n"/>
      <c r="B538" s="27" t="n"/>
      <c r="C538" s="27" t="n"/>
      <c r="D538" s="28" t="n"/>
      <c r="E538" s="28" t="n"/>
      <c r="F538" s="29" t="n"/>
      <c r="G538" s="30" t="n"/>
      <c r="H538" s="20">
        <f>IF(A538="","",TRIM(IF(WEEKDAY(A538,2)&gt;5,"Fin de semana. ","")&amp;IF(SUMIFS($G$2:$G$601,$A$2:$A$601,A538,$D$2:$D$601,D538)&gt;9,"Más de 9 h en el día. ","")&amp;IF(AND(B538&lt;&gt;"",C538&lt;&gt;"",C538&lt;B538),"Cruza la medianoche. ","")&amp;IF(LEN(TRIM(F538))&lt;15,"Sin descripción suficiente. ","")&amp;IF(AND(ISERROR(SEARCH("R-0",F538)),ISERROR(SEARCH("CU-",F538))),"Sin ticket. ","")&amp;IF(ISNA(MATCH(E538,Datos!$E$8:$E$22,0)),"Proyecto sin valor hora. ","")&amp;IF(ISNA(MATCH(D538,Datos!$A$8:$A$22,0)),"Persona fuera del equipo. ","")))</f>
        <v/>
      </c>
      <c r="I538" s="21" t="n"/>
      <c r="J538" s="22" t="n"/>
      <c r="K538" s="23">
        <f>IF(G538="","",IF(J538&lt;&gt;"",MIN(J538,G538),IF(OR(I538="Observada",I538="Rechazada"),0,G538)))</f>
        <v/>
      </c>
      <c r="L538" s="24" t="n"/>
      <c r="M538" s="25">
        <f>IF(OR(A538="",D538=""),0,IF(COUNTIFS($A$2:A538,A538,$D$2:D538,D538)=1,1,0))</f>
        <v/>
      </c>
    </row>
    <row r="539">
      <c r="A539" s="26" t="n"/>
      <c r="B539" s="27" t="n"/>
      <c r="C539" s="27" t="n"/>
      <c r="D539" s="28" t="n"/>
      <c r="E539" s="28" t="n"/>
      <c r="F539" s="29" t="n"/>
      <c r="G539" s="30" t="n"/>
      <c r="H539" s="20">
        <f>IF(A539="","",TRIM(IF(WEEKDAY(A539,2)&gt;5,"Fin de semana. ","")&amp;IF(SUMIFS($G$2:$G$601,$A$2:$A$601,A539,$D$2:$D$601,D539)&gt;9,"Más de 9 h en el día. ","")&amp;IF(AND(B539&lt;&gt;"",C539&lt;&gt;"",C539&lt;B539),"Cruza la medianoche. ","")&amp;IF(LEN(TRIM(F539))&lt;15,"Sin descripción suficiente. ","")&amp;IF(AND(ISERROR(SEARCH("R-0",F539)),ISERROR(SEARCH("CU-",F539))),"Sin ticket. ","")&amp;IF(ISNA(MATCH(E539,Datos!$E$8:$E$22,0)),"Proyecto sin valor hora. ","")&amp;IF(ISNA(MATCH(D539,Datos!$A$8:$A$22,0)),"Persona fuera del equipo. ","")))</f>
        <v/>
      </c>
      <c r="I539" s="21" t="n"/>
      <c r="J539" s="22" t="n"/>
      <c r="K539" s="23">
        <f>IF(G539="","",IF(J539&lt;&gt;"",MIN(J539,G539),IF(OR(I539="Observada",I539="Rechazada"),0,G539)))</f>
        <v/>
      </c>
      <c r="L539" s="24" t="n"/>
      <c r="M539" s="25">
        <f>IF(OR(A539="",D539=""),0,IF(COUNTIFS($A$2:A539,A539,$D$2:D539,D539)=1,1,0))</f>
        <v/>
      </c>
    </row>
    <row r="540">
      <c r="A540" s="26" t="n"/>
      <c r="B540" s="27" t="n"/>
      <c r="C540" s="27" t="n"/>
      <c r="D540" s="28" t="n"/>
      <c r="E540" s="28" t="n"/>
      <c r="F540" s="29" t="n"/>
      <c r="G540" s="30" t="n"/>
      <c r="H540" s="20">
        <f>IF(A540="","",TRIM(IF(WEEKDAY(A540,2)&gt;5,"Fin de semana. ","")&amp;IF(SUMIFS($G$2:$G$601,$A$2:$A$601,A540,$D$2:$D$601,D540)&gt;9,"Más de 9 h en el día. ","")&amp;IF(AND(B540&lt;&gt;"",C540&lt;&gt;"",C540&lt;B540),"Cruza la medianoche. ","")&amp;IF(LEN(TRIM(F540))&lt;15,"Sin descripción suficiente. ","")&amp;IF(AND(ISERROR(SEARCH("R-0",F540)),ISERROR(SEARCH("CU-",F540))),"Sin ticket. ","")&amp;IF(ISNA(MATCH(E540,Datos!$E$8:$E$22,0)),"Proyecto sin valor hora. ","")&amp;IF(ISNA(MATCH(D540,Datos!$A$8:$A$22,0)),"Persona fuera del equipo. ","")))</f>
        <v/>
      </c>
      <c r="I540" s="21" t="n"/>
      <c r="J540" s="22" t="n"/>
      <c r="K540" s="23">
        <f>IF(G540="","",IF(J540&lt;&gt;"",MIN(J540,G540),IF(OR(I540="Observada",I540="Rechazada"),0,G540)))</f>
        <v/>
      </c>
      <c r="L540" s="24" t="n"/>
      <c r="M540" s="25">
        <f>IF(OR(A540="",D540=""),0,IF(COUNTIFS($A$2:A540,A540,$D$2:D540,D540)=1,1,0))</f>
        <v/>
      </c>
    </row>
    <row r="541">
      <c r="A541" s="26" t="n"/>
      <c r="B541" s="27" t="n"/>
      <c r="C541" s="27" t="n"/>
      <c r="D541" s="28" t="n"/>
      <c r="E541" s="28" t="n"/>
      <c r="F541" s="29" t="n"/>
      <c r="G541" s="30" t="n"/>
      <c r="H541" s="20">
        <f>IF(A541="","",TRIM(IF(WEEKDAY(A541,2)&gt;5,"Fin de semana. ","")&amp;IF(SUMIFS($G$2:$G$601,$A$2:$A$601,A541,$D$2:$D$601,D541)&gt;9,"Más de 9 h en el día. ","")&amp;IF(AND(B541&lt;&gt;"",C541&lt;&gt;"",C541&lt;B541),"Cruza la medianoche. ","")&amp;IF(LEN(TRIM(F541))&lt;15,"Sin descripción suficiente. ","")&amp;IF(AND(ISERROR(SEARCH("R-0",F541)),ISERROR(SEARCH("CU-",F541))),"Sin ticket. ","")&amp;IF(ISNA(MATCH(E541,Datos!$E$8:$E$22,0)),"Proyecto sin valor hora. ","")&amp;IF(ISNA(MATCH(D541,Datos!$A$8:$A$22,0)),"Persona fuera del equipo. ","")))</f>
        <v/>
      </c>
      <c r="I541" s="21" t="n"/>
      <c r="J541" s="22" t="n"/>
      <c r="K541" s="23">
        <f>IF(G541="","",IF(J541&lt;&gt;"",MIN(J541,G541),IF(OR(I541="Observada",I541="Rechazada"),0,G541)))</f>
        <v/>
      </c>
      <c r="L541" s="24" t="n"/>
      <c r="M541" s="25">
        <f>IF(OR(A541="",D541=""),0,IF(COUNTIFS($A$2:A541,A541,$D$2:D541,D541)=1,1,0))</f>
        <v/>
      </c>
    </row>
    <row r="542">
      <c r="A542" s="26" t="n"/>
      <c r="B542" s="27" t="n"/>
      <c r="C542" s="27" t="n"/>
      <c r="D542" s="28" t="n"/>
      <c r="E542" s="28" t="n"/>
      <c r="F542" s="29" t="n"/>
      <c r="G542" s="30" t="n"/>
      <c r="H542" s="20">
        <f>IF(A542="","",TRIM(IF(WEEKDAY(A542,2)&gt;5,"Fin de semana. ","")&amp;IF(SUMIFS($G$2:$G$601,$A$2:$A$601,A542,$D$2:$D$601,D542)&gt;9,"Más de 9 h en el día. ","")&amp;IF(AND(B542&lt;&gt;"",C542&lt;&gt;"",C542&lt;B542),"Cruza la medianoche. ","")&amp;IF(LEN(TRIM(F542))&lt;15,"Sin descripción suficiente. ","")&amp;IF(AND(ISERROR(SEARCH("R-0",F542)),ISERROR(SEARCH("CU-",F542))),"Sin ticket. ","")&amp;IF(ISNA(MATCH(E542,Datos!$E$8:$E$22,0)),"Proyecto sin valor hora. ","")&amp;IF(ISNA(MATCH(D542,Datos!$A$8:$A$22,0)),"Persona fuera del equipo. ","")))</f>
        <v/>
      </c>
      <c r="I542" s="21" t="n"/>
      <c r="J542" s="22" t="n"/>
      <c r="K542" s="23">
        <f>IF(G542="","",IF(J542&lt;&gt;"",MIN(J542,G542),IF(OR(I542="Observada",I542="Rechazada"),0,G542)))</f>
        <v/>
      </c>
      <c r="L542" s="24" t="n"/>
      <c r="M542" s="25">
        <f>IF(OR(A542="",D542=""),0,IF(COUNTIFS($A$2:A542,A542,$D$2:D542,D542)=1,1,0))</f>
        <v/>
      </c>
    </row>
    <row r="543">
      <c r="A543" s="26" t="n"/>
      <c r="B543" s="27" t="n"/>
      <c r="C543" s="27" t="n"/>
      <c r="D543" s="28" t="n"/>
      <c r="E543" s="28" t="n"/>
      <c r="F543" s="29" t="n"/>
      <c r="G543" s="30" t="n"/>
      <c r="H543" s="20">
        <f>IF(A543="","",TRIM(IF(WEEKDAY(A543,2)&gt;5,"Fin de semana. ","")&amp;IF(SUMIFS($G$2:$G$601,$A$2:$A$601,A543,$D$2:$D$601,D543)&gt;9,"Más de 9 h en el día. ","")&amp;IF(AND(B543&lt;&gt;"",C543&lt;&gt;"",C543&lt;B543),"Cruza la medianoche. ","")&amp;IF(LEN(TRIM(F543))&lt;15,"Sin descripción suficiente. ","")&amp;IF(AND(ISERROR(SEARCH("R-0",F543)),ISERROR(SEARCH("CU-",F543))),"Sin ticket. ","")&amp;IF(ISNA(MATCH(E543,Datos!$E$8:$E$22,0)),"Proyecto sin valor hora. ","")&amp;IF(ISNA(MATCH(D543,Datos!$A$8:$A$22,0)),"Persona fuera del equipo. ","")))</f>
        <v/>
      </c>
      <c r="I543" s="21" t="n"/>
      <c r="J543" s="22" t="n"/>
      <c r="K543" s="23">
        <f>IF(G543="","",IF(J543&lt;&gt;"",MIN(J543,G543),IF(OR(I543="Observada",I543="Rechazada"),0,G543)))</f>
        <v/>
      </c>
      <c r="L543" s="24" t="n"/>
      <c r="M543" s="25">
        <f>IF(OR(A543="",D543=""),0,IF(COUNTIFS($A$2:A543,A543,$D$2:D543,D543)=1,1,0))</f>
        <v/>
      </c>
    </row>
    <row r="544">
      <c r="A544" s="26" t="n"/>
      <c r="B544" s="27" t="n"/>
      <c r="C544" s="27" t="n"/>
      <c r="D544" s="28" t="n"/>
      <c r="E544" s="28" t="n"/>
      <c r="F544" s="29" t="n"/>
      <c r="G544" s="30" t="n"/>
      <c r="H544" s="20">
        <f>IF(A544="","",TRIM(IF(WEEKDAY(A544,2)&gt;5,"Fin de semana. ","")&amp;IF(SUMIFS($G$2:$G$601,$A$2:$A$601,A544,$D$2:$D$601,D544)&gt;9,"Más de 9 h en el día. ","")&amp;IF(AND(B544&lt;&gt;"",C544&lt;&gt;"",C544&lt;B544),"Cruza la medianoche. ","")&amp;IF(LEN(TRIM(F544))&lt;15,"Sin descripción suficiente. ","")&amp;IF(AND(ISERROR(SEARCH("R-0",F544)),ISERROR(SEARCH("CU-",F544))),"Sin ticket. ","")&amp;IF(ISNA(MATCH(E544,Datos!$E$8:$E$22,0)),"Proyecto sin valor hora. ","")&amp;IF(ISNA(MATCH(D544,Datos!$A$8:$A$22,0)),"Persona fuera del equipo. ","")))</f>
        <v/>
      </c>
      <c r="I544" s="21" t="n"/>
      <c r="J544" s="22" t="n"/>
      <c r="K544" s="23">
        <f>IF(G544="","",IF(J544&lt;&gt;"",MIN(J544,G544),IF(OR(I544="Observada",I544="Rechazada"),0,G544)))</f>
        <v/>
      </c>
      <c r="L544" s="24" t="n"/>
      <c r="M544" s="25">
        <f>IF(OR(A544="",D544=""),0,IF(COUNTIFS($A$2:A544,A544,$D$2:D544,D544)=1,1,0))</f>
        <v/>
      </c>
    </row>
    <row r="545">
      <c r="A545" s="26" t="n"/>
      <c r="B545" s="27" t="n"/>
      <c r="C545" s="27" t="n"/>
      <c r="D545" s="28" t="n"/>
      <c r="E545" s="28" t="n"/>
      <c r="F545" s="29" t="n"/>
      <c r="G545" s="30" t="n"/>
      <c r="H545" s="20">
        <f>IF(A545="","",TRIM(IF(WEEKDAY(A545,2)&gt;5,"Fin de semana. ","")&amp;IF(SUMIFS($G$2:$G$601,$A$2:$A$601,A545,$D$2:$D$601,D545)&gt;9,"Más de 9 h en el día. ","")&amp;IF(AND(B545&lt;&gt;"",C545&lt;&gt;"",C545&lt;B545),"Cruza la medianoche. ","")&amp;IF(LEN(TRIM(F545))&lt;15,"Sin descripción suficiente. ","")&amp;IF(AND(ISERROR(SEARCH("R-0",F545)),ISERROR(SEARCH("CU-",F545))),"Sin ticket. ","")&amp;IF(ISNA(MATCH(E545,Datos!$E$8:$E$22,0)),"Proyecto sin valor hora. ","")&amp;IF(ISNA(MATCH(D545,Datos!$A$8:$A$22,0)),"Persona fuera del equipo. ","")))</f>
        <v/>
      </c>
      <c r="I545" s="21" t="n"/>
      <c r="J545" s="22" t="n"/>
      <c r="K545" s="23">
        <f>IF(G545="","",IF(J545&lt;&gt;"",MIN(J545,G545),IF(OR(I545="Observada",I545="Rechazada"),0,G545)))</f>
        <v/>
      </c>
      <c r="L545" s="24" t="n"/>
      <c r="M545" s="25">
        <f>IF(OR(A545="",D545=""),0,IF(COUNTIFS($A$2:A545,A545,$D$2:D545,D545)=1,1,0))</f>
        <v/>
      </c>
    </row>
    <row r="546">
      <c r="A546" s="26" t="n"/>
      <c r="B546" s="27" t="n"/>
      <c r="C546" s="27" t="n"/>
      <c r="D546" s="28" t="n"/>
      <c r="E546" s="28" t="n"/>
      <c r="F546" s="29" t="n"/>
      <c r="G546" s="30" t="n"/>
      <c r="H546" s="20">
        <f>IF(A546="","",TRIM(IF(WEEKDAY(A546,2)&gt;5,"Fin de semana. ","")&amp;IF(SUMIFS($G$2:$G$601,$A$2:$A$601,A546,$D$2:$D$601,D546)&gt;9,"Más de 9 h en el día. ","")&amp;IF(AND(B546&lt;&gt;"",C546&lt;&gt;"",C546&lt;B546),"Cruza la medianoche. ","")&amp;IF(LEN(TRIM(F546))&lt;15,"Sin descripción suficiente. ","")&amp;IF(AND(ISERROR(SEARCH("R-0",F546)),ISERROR(SEARCH("CU-",F546))),"Sin ticket. ","")&amp;IF(ISNA(MATCH(E546,Datos!$E$8:$E$22,0)),"Proyecto sin valor hora. ","")&amp;IF(ISNA(MATCH(D546,Datos!$A$8:$A$22,0)),"Persona fuera del equipo. ","")))</f>
        <v/>
      </c>
      <c r="I546" s="21" t="n"/>
      <c r="J546" s="22" t="n"/>
      <c r="K546" s="23">
        <f>IF(G546="","",IF(J546&lt;&gt;"",MIN(J546,G546),IF(OR(I546="Observada",I546="Rechazada"),0,G546)))</f>
        <v/>
      </c>
      <c r="L546" s="24" t="n"/>
      <c r="M546" s="25">
        <f>IF(OR(A546="",D546=""),0,IF(COUNTIFS($A$2:A546,A546,$D$2:D546,D546)=1,1,0))</f>
        <v/>
      </c>
    </row>
    <row r="547">
      <c r="A547" s="26" t="n"/>
      <c r="B547" s="27" t="n"/>
      <c r="C547" s="27" t="n"/>
      <c r="D547" s="28" t="n"/>
      <c r="E547" s="28" t="n"/>
      <c r="F547" s="29" t="n"/>
      <c r="G547" s="30" t="n"/>
      <c r="H547" s="20">
        <f>IF(A547="","",TRIM(IF(WEEKDAY(A547,2)&gt;5,"Fin de semana. ","")&amp;IF(SUMIFS($G$2:$G$601,$A$2:$A$601,A547,$D$2:$D$601,D547)&gt;9,"Más de 9 h en el día. ","")&amp;IF(AND(B547&lt;&gt;"",C547&lt;&gt;"",C547&lt;B547),"Cruza la medianoche. ","")&amp;IF(LEN(TRIM(F547))&lt;15,"Sin descripción suficiente. ","")&amp;IF(AND(ISERROR(SEARCH("R-0",F547)),ISERROR(SEARCH("CU-",F547))),"Sin ticket. ","")&amp;IF(ISNA(MATCH(E547,Datos!$E$8:$E$22,0)),"Proyecto sin valor hora. ","")&amp;IF(ISNA(MATCH(D547,Datos!$A$8:$A$22,0)),"Persona fuera del equipo. ","")))</f>
        <v/>
      </c>
      <c r="I547" s="21" t="n"/>
      <c r="J547" s="22" t="n"/>
      <c r="K547" s="23">
        <f>IF(G547="","",IF(J547&lt;&gt;"",MIN(J547,G547),IF(OR(I547="Observada",I547="Rechazada"),0,G547)))</f>
        <v/>
      </c>
      <c r="L547" s="24" t="n"/>
      <c r="M547" s="25">
        <f>IF(OR(A547="",D547=""),0,IF(COUNTIFS($A$2:A547,A547,$D$2:D547,D547)=1,1,0))</f>
        <v/>
      </c>
    </row>
    <row r="548">
      <c r="A548" s="26" t="n"/>
      <c r="B548" s="27" t="n"/>
      <c r="C548" s="27" t="n"/>
      <c r="D548" s="28" t="n"/>
      <c r="E548" s="28" t="n"/>
      <c r="F548" s="29" t="n"/>
      <c r="G548" s="30" t="n"/>
      <c r="H548" s="20">
        <f>IF(A548="","",TRIM(IF(WEEKDAY(A548,2)&gt;5,"Fin de semana. ","")&amp;IF(SUMIFS($G$2:$G$601,$A$2:$A$601,A548,$D$2:$D$601,D548)&gt;9,"Más de 9 h en el día. ","")&amp;IF(AND(B548&lt;&gt;"",C548&lt;&gt;"",C548&lt;B548),"Cruza la medianoche. ","")&amp;IF(LEN(TRIM(F548))&lt;15,"Sin descripción suficiente. ","")&amp;IF(AND(ISERROR(SEARCH("R-0",F548)),ISERROR(SEARCH("CU-",F548))),"Sin ticket. ","")&amp;IF(ISNA(MATCH(E548,Datos!$E$8:$E$22,0)),"Proyecto sin valor hora. ","")&amp;IF(ISNA(MATCH(D548,Datos!$A$8:$A$22,0)),"Persona fuera del equipo. ","")))</f>
        <v/>
      </c>
      <c r="I548" s="21" t="n"/>
      <c r="J548" s="22" t="n"/>
      <c r="K548" s="23">
        <f>IF(G548="","",IF(J548&lt;&gt;"",MIN(J548,G548),IF(OR(I548="Observada",I548="Rechazada"),0,G548)))</f>
        <v/>
      </c>
      <c r="L548" s="24" t="n"/>
      <c r="M548" s="25">
        <f>IF(OR(A548="",D548=""),0,IF(COUNTIFS($A$2:A548,A548,$D$2:D548,D548)=1,1,0))</f>
        <v/>
      </c>
    </row>
    <row r="549">
      <c r="A549" s="26" t="n"/>
      <c r="B549" s="27" t="n"/>
      <c r="C549" s="27" t="n"/>
      <c r="D549" s="28" t="n"/>
      <c r="E549" s="28" t="n"/>
      <c r="F549" s="29" t="n"/>
      <c r="G549" s="30" t="n"/>
      <c r="H549" s="20">
        <f>IF(A549="","",TRIM(IF(WEEKDAY(A549,2)&gt;5,"Fin de semana. ","")&amp;IF(SUMIFS($G$2:$G$601,$A$2:$A$601,A549,$D$2:$D$601,D549)&gt;9,"Más de 9 h en el día. ","")&amp;IF(AND(B549&lt;&gt;"",C549&lt;&gt;"",C549&lt;B549),"Cruza la medianoche. ","")&amp;IF(LEN(TRIM(F549))&lt;15,"Sin descripción suficiente. ","")&amp;IF(AND(ISERROR(SEARCH("R-0",F549)),ISERROR(SEARCH("CU-",F549))),"Sin ticket. ","")&amp;IF(ISNA(MATCH(E549,Datos!$E$8:$E$22,0)),"Proyecto sin valor hora. ","")&amp;IF(ISNA(MATCH(D549,Datos!$A$8:$A$22,0)),"Persona fuera del equipo. ","")))</f>
        <v/>
      </c>
      <c r="I549" s="21" t="n"/>
      <c r="J549" s="22" t="n"/>
      <c r="K549" s="23">
        <f>IF(G549="","",IF(J549&lt;&gt;"",MIN(J549,G549),IF(OR(I549="Observada",I549="Rechazada"),0,G549)))</f>
        <v/>
      </c>
      <c r="L549" s="24" t="n"/>
      <c r="M549" s="25">
        <f>IF(OR(A549="",D549=""),0,IF(COUNTIFS($A$2:A549,A549,$D$2:D549,D549)=1,1,0))</f>
        <v/>
      </c>
    </row>
    <row r="550">
      <c r="A550" s="26" t="n"/>
      <c r="B550" s="27" t="n"/>
      <c r="C550" s="27" t="n"/>
      <c r="D550" s="28" t="n"/>
      <c r="E550" s="28" t="n"/>
      <c r="F550" s="29" t="n"/>
      <c r="G550" s="30" t="n"/>
      <c r="H550" s="20">
        <f>IF(A550="","",TRIM(IF(WEEKDAY(A550,2)&gt;5,"Fin de semana. ","")&amp;IF(SUMIFS($G$2:$G$601,$A$2:$A$601,A550,$D$2:$D$601,D550)&gt;9,"Más de 9 h en el día. ","")&amp;IF(AND(B550&lt;&gt;"",C550&lt;&gt;"",C550&lt;B550),"Cruza la medianoche. ","")&amp;IF(LEN(TRIM(F550))&lt;15,"Sin descripción suficiente. ","")&amp;IF(AND(ISERROR(SEARCH("R-0",F550)),ISERROR(SEARCH("CU-",F550))),"Sin ticket. ","")&amp;IF(ISNA(MATCH(E550,Datos!$E$8:$E$22,0)),"Proyecto sin valor hora. ","")&amp;IF(ISNA(MATCH(D550,Datos!$A$8:$A$22,0)),"Persona fuera del equipo. ","")))</f>
        <v/>
      </c>
      <c r="I550" s="21" t="n"/>
      <c r="J550" s="22" t="n"/>
      <c r="K550" s="23">
        <f>IF(G550="","",IF(J550&lt;&gt;"",MIN(J550,G550),IF(OR(I550="Observada",I550="Rechazada"),0,G550)))</f>
        <v/>
      </c>
      <c r="L550" s="24" t="n"/>
      <c r="M550" s="25">
        <f>IF(OR(A550="",D550=""),0,IF(COUNTIFS($A$2:A550,A550,$D$2:D550,D550)=1,1,0))</f>
        <v/>
      </c>
    </row>
    <row r="551">
      <c r="A551" s="26" t="n"/>
      <c r="B551" s="27" t="n"/>
      <c r="C551" s="27" t="n"/>
      <c r="D551" s="28" t="n"/>
      <c r="E551" s="28" t="n"/>
      <c r="F551" s="29" t="n"/>
      <c r="G551" s="30" t="n"/>
      <c r="H551" s="20">
        <f>IF(A551="","",TRIM(IF(WEEKDAY(A551,2)&gt;5,"Fin de semana. ","")&amp;IF(SUMIFS($G$2:$G$601,$A$2:$A$601,A551,$D$2:$D$601,D551)&gt;9,"Más de 9 h en el día. ","")&amp;IF(AND(B551&lt;&gt;"",C551&lt;&gt;"",C551&lt;B551),"Cruza la medianoche. ","")&amp;IF(LEN(TRIM(F551))&lt;15,"Sin descripción suficiente. ","")&amp;IF(AND(ISERROR(SEARCH("R-0",F551)),ISERROR(SEARCH("CU-",F551))),"Sin ticket. ","")&amp;IF(ISNA(MATCH(E551,Datos!$E$8:$E$22,0)),"Proyecto sin valor hora. ","")&amp;IF(ISNA(MATCH(D551,Datos!$A$8:$A$22,0)),"Persona fuera del equipo. ","")))</f>
        <v/>
      </c>
      <c r="I551" s="21" t="n"/>
      <c r="J551" s="22" t="n"/>
      <c r="K551" s="23">
        <f>IF(G551="","",IF(J551&lt;&gt;"",MIN(J551,G551),IF(OR(I551="Observada",I551="Rechazada"),0,G551)))</f>
        <v/>
      </c>
      <c r="L551" s="24" t="n"/>
      <c r="M551" s="25">
        <f>IF(OR(A551="",D551=""),0,IF(COUNTIFS($A$2:A551,A551,$D$2:D551,D551)=1,1,0))</f>
        <v/>
      </c>
    </row>
    <row r="552">
      <c r="A552" s="26" t="n"/>
      <c r="B552" s="27" t="n"/>
      <c r="C552" s="27" t="n"/>
      <c r="D552" s="28" t="n"/>
      <c r="E552" s="28" t="n"/>
      <c r="F552" s="29" t="n"/>
      <c r="G552" s="30" t="n"/>
      <c r="H552" s="20">
        <f>IF(A552="","",TRIM(IF(WEEKDAY(A552,2)&gt;5,"Fin de semana. ","")&amp;IF(SUMIFS($G$2:$G$601,$A$2:$A$601,A552,$D$2:$D$601,D552)&gt;9,"Más de 9 h en el día. ","")&amp;IF(AND(B552&lt;&gt;"",C552&lt;&gt;"",C552&lt;B552),"Cruza la medianoche. ","")&amp;IF(LEN(TRIM(F552))&lt;15,"Sin descripción suficiente. ","")&amp;IF(AND(ISERROR(SEARCH("R-0",F552)),ISERROR(SEARCH("CU-",F552))),"Sin ticket. ","")&amp;IF(ISNA(MATCH(E552,Datos!$E$8:$E$22,0)),"Proyecto sin valor hora. ","")&amp;IF(ISNA(MATCH(D552,Datos!$A$8:$A$22,0)),"Persona fuera del equipo. ","")))</f>
        <v/>
      </c>
      <c r="I552" s="21" t="n"/>
      <c r="J552" s="22" t="n"/>
      <c r="K552" s="23">
        <f>IF(G552="","",IF(J552&lt;&gt;"",MIN(J552,G552),IF(OR(I552="Observada",I552="Rechazada"),0,G552)))</f>
        <v/>
      </c>
      <c r="L552" s="24" t="n"/>
      <c r="M552" s="25">
        <f>IF(OR(A552="",D552=""),0,IF(COUNTIFS($A$2:A552,A552,$D$2:D552,D552)=1,1,0))</f>
        <v/>
      </c>
    </row>
    <row r="553">
      <c r="A553" s="26" t="n"/>
      <c r="B553" s="27" t="n"/>
      <c r="C553" s="27" t="n"/>
      <c r="D553" s="28" t="n"/>
      <c r="E553" s="28" t="n"/>
      <c r="F553" s="29" t="n"/>
      <c r="G553" s="30" t="n"/>
      <c r="H553" s="20">
        <f>IF(A553="","",TRIM(IF(WEEKDAY(A553,2)&gt;5,"Fin de semana. ","")&amp;IF(SUMIFS($G$2:$G$601,$A$2:$A$601,A553,$D$2:$D$601,D553)&gt;9,"Más de 9 h en el día. ","")&amp;IF(AND(B553&lt;&gt;"",C553&lt;&gt;"",C553&lt;B553),"Cruza la medianoche. ","")&amp;IF(LEN(TRIM(F553))&lt;15,"Sin descripción suficiente. ","")&amp;IF(AND(ISERROR(SEARCH("R-0",F553)),ISERROR(SEARCH("CU-",F553))),"Sin ticket. ","")&amp;IF(ISNA(MATCH(E553,Datos!$E$8:$E$22,0)),"Proyecto sin valor hora. ","")&amp;IF(ISNA(MATCH(D553,Datos!$A$8:$A$22,0)),"Persona fuera del equipo. ","")))</f>
        <v/>
      </c>
      <c r="I553" s="21" t="n"/>
      <c r="J553" s="22" t="n"/>
      <c r="K553" s="23">
        <f>IF(G553="","",IF(J553&lt;&gt;"",MIN(J553,G553),IF(OR(I553="Observada",I553="Rechazada"),0,G553)))</f>
        <v/>
      </c>
      <c r="L553" s="24" t="n"/>
      <c r="M553" s="25">
        <f>IF(OR(A553="",D553=""),0,IF(COUNTIFS($A$2:A553,A553,$D$2:D553,D553)=1,1,0))</f>
        <v/>
      </c>
    </row>
    <row r="554">
      <c r="A554" s="26" t="n"/>
      <c r="B554" s="27" t="n"/>
      <c r="C554" s="27" t="n"/>
      <c r="D554" s="28" t="n"/>
      <c r="E554" s="28" t="n"/>
      <c r="F554" s="29" t="n"/>
      <c r="G554" s="30" t="n"/>
      <c r="H554" s="20">
        <f>IF(A554="","",TRIM(IF(WEEKDAY(A554,2)&gt;5,"Fin de semana. ","")&amp;IF(SUMIFS($G$2:$G$601,$A$2:$A$601,A554,$D$2:$D$601,D554)&gt;9,"Más de 9 h en el día. ","")&amp;IF(AND(B554&lt;&gt;"",C554&lt;&gt;"",C554&lt;B554),"Cruza la medianoche. ","")&amp;IF(LEN(TRIM(F554))&lt;15,"Sin descripción suficiente. ","")&amp;IF(AND(ISERROR(SEARCH("R-0",F554)),ISERROR(SEARCH("CU-",F554))),"Sin ticket. ","")&amp;IF(ISNA(MATCH(E554,Datos!$E$8:$E$22,0)),"Proyecto sin valor hora. ","")&amp;IF(ISNA(MATCH(D554,Datos!$A$8:$A$22,0)),"Persona fuera del equipo. ","")))</f>
        <v/>
      </c>
      <c r="I554" s="21" t="n"/>
      <c r="J554" s="22" t="n"/>
      <c r="K554" s="23">
        <f>IF(G554="","",IF(J554&lt;&gt;"",MIN(J554,G554),IF(OR(I554="Observada",I554="Rechazada"),0,G554)))</f>
        <v/>
      </c>
      <c r="L554" s="24" t="n"/>
      <c r="M554" s="25">
        <f>IF(OR(A554="",D554=""),0,IF(COUNTIFS($A$2:A554,A554,$D$2:D554,D554)=1,1,0))</f>
        <v/>
      </c>
    </row>
    <row r="555">
      <c r="A555" s="26" t="n"/>
      <c r="B555" s="27" t="n"/>
      <c r="C555" s="27" t="n"/>
      <c r="D555" s="28" t="n"/>
      <c r="E555" s="28" t="n"/>
      <c r="F555" s="29" t="n"/>
      <c r="G555" s="30" t="n"/>
      <c r="H555" s="20">
        <f>IF(A555="","",TRIM(IF(WEEKDAY(A555,2)&gt;5,"Fin de semana. ","")&amp;IF(SUMIFS($G$2:$G$601,$A$2:$A$601,A555,$D$2:$D$601,D555)&gt;9,"Más de 9 h en el día. ","")&amp;IF(AND(B555&lt;&gt;"",C555&lt;&gt;"",C555&lt;B555),"Cruza la medianoche. ","")&amp;IF(LEN(TRIM(F555))&lt;15,"Sin descripción suficiente. ","")&amp;IF(AND(ISERROR(SEARCH("R-0",F555)),ISERROR(SEARCH("CU-",F555))),"Sin ticket. ","")&amp;IF(ISNA(MATCH(E555,Datos!$E$8:$E$22,0)),"Proyecto sin valor hora. ","")&amp;IF(ISNA(MATCH(D555,Datos!$A$8:$A$22,0)),"Persona fuera del equipo. ","")))</f>
        <v/>
      </c>
      <c r="I555" s="21" t="n"/>
      <c r="J555" s="22" t="n"/>
      <c r="K555" s="23">
        <f>IF(G555="","",IF(J555&lt;&gt;"",MIN(J555,G555),IF(OR(I555="Observada",I555="Rechazada"),0,G555)))</f>
        <v/>
      </c>
      <c r="L555" s="24" t="n"/>
      <c r="M555" s="25">
        <f>IF(OR(A555="",D555=""),0,IF(COUNTIFS($A$2:A555,A555,$D$2:D555,D555)=1,1,0))</f>
        <v/>
      </c>
    </row>
    <row r="556">
      <c r="A556" s="26" t="n"/>
      <c r="B556" s="27" t="n"/>
      <c r="C556" s="27" t="n"/>
      <c r="D556" s="28" t="n"/>
      <c r="E556" s="28" t="n"/>
      <c r="F556" s="29" t="n"/>
      <c r="G556" s="30" t="n"/>
      <c r="H556" s="20">
        <f>IF(A556="","",TRIM(IF(WEEKDAY(A556,2)&gt;5,"Fin de semana. ","")&amp;IF(SUMIFS($G$2:$G$601,$A$2:$A$601,A556,$D$2:$D$601,D556)&gt;9,"Más de 9 h en el día. ","")&amp;IF(AND(B556&lt;&gt;"",C556&lt;&gt;"",C556&lt;B556),"Cruza la medianoche. ","")&amp;IF(LEN(TRIM(F556))&lt;15,"Sin descripción suficiente. ","")&amp;IF(AND(ISERROR(SEARCH("R-0",F556)),ISERROR(SEARCH("CU-",F556))),"Sin ticket. ","")&amp;IF(ISNA(MATCH(E556,Datos!$E$8:$E$22,0)),"Proyecto sin valor hora. ","")&amp;IF(ISNA(MATCH(D556,Datos!$A$8:$A$22,0)),"Persona fuera del equipo. ","")))</f>
        <v/>
      </c>
      <c r="I556" s="21" t="n"/>
      <c r="J556" s="22" t="n"/>
      <c r="K556" s="23">
        <f>IF(G556="","",IF(J556&lt;&gt;"",MIN(J556,G556),IF(OR(I556="Observada",I556="Rechazada"),0,G556)))</f>
        <v/>
      </c>
      <c r="L556" s="24" t="n"/>
      <c r="M556" s="25">
        <f>IF(OR(A556="",D556=""),0,IF(COUNTIFS($A$2:A556,A556,$D$2:D556,D556)=1,1,0))</f>
        <v/>
      </c>
    </row>
    <row r="557">
      <c r="A557" s="26" t="n"/>
      <c r="B557" s="27" t="n"/>
      <c r="C557" s="27" t="n"/>
      <c r="D557" s="28" t="n"/>
      <c r="E557" s="28" t="n"/>
      <c r="F557" s="29" t="n"/>
      <c r="G557" s="30" t="n"/>
      <c r="H557" s="20">
        <f>IF(A557="","",TRIM(IF(WEEKDAY(A557,2)&gt;5,"Fin de semana. ","")&amp;IF(SUMIFS($G$2:$G$601,$A$2:$A$601,A557,$D$2:$D$601,D557)&gt;9,"Más de 9 h en el día. ","")&amp;IF(AND(B557&lt;&gt;"",C557&lt;&gt;"",C557&lt;B557),"Cruza la medianoche. ","")&amp;IF(LEN(TRIM(F557))&lt;15,"Sin descripción suficiente. ","")&amp;IF(AND(ISERROR(SEARCH("R-0",F557)),ISERROR(SEARCH("CU-",F557))),"Sin ticket. ","")&amp;IF(ISNA(MATCH(E557,Datos!$E$8:$E$22,0)),"Proyecto sin valor hora. ","")&amp;IF(ISNA(MATCH(D557,Datos!$A$8:$A$22,0)),"Persona fuera del equipo. ","")))</f>
        <v/>
      </c>
      <c r="I557" s="21" t="n"/>
      <c r="J557" s="22" t="n"/>
      <c r="K557" s="23">
        <f>IF(G557="","",IF(J557&lt;&gt;"",MIN(J557,G557),IF(OR(I557="Observada",I557="Rechazada"),0,G557)))</f>
        <v/>
      </c>
      <c r="L557" s="24" t="n"/>
      <c r="M557" s="25">
        <f>IF(OR(A557="",D557=""),0,IF(COUNTIFS($A$2:A557,A557,$D$2:D557,D557)=1,1,0))</f>
        <v/>
      </c>
    </row>
    <row r="558">
      <c r="A558" s="26" t="n"/>
      <c r="B558" s="27" t="n"/>
      <c r="C558" s="27" t="n"/>
      <c r="D558" s="28" t="n"/>
      <c r="E558" s="28" t="n"/>
      <c r="F558" s="29" t="n"/>
      <c r="G558" s="30" t="n"/>
      <c r="H558" s="20">
        <f>IF(A558="","",TRIM(IF(WEEKDAY(A558,2)&gt;5,"Fin de semana. ","")&amp;IF(SUMIFS($G$2:$G$601,$A$2:$A$601,A558,$D$2:$D$601,D558)&gt;9,"Más de 9 h en el día. ","")&amp;IF(AND(B558&lt;&gt;"",C558&lt;&gt;"",C558&lt;B558),"Cruza la medianoche. ","")&amp;IF(LEN(TRIM(F558))&lt;15,"Sin descripción suficiente. ","")&amp;IF(AND(ISERROR(SEARCH("R-0",F558)),ISERROR(SEARCH("CU-",F558))),"Sin ticket. ","")&amp;IF(ISNA(MATCH(E558,Datos!$E$8:$E$22,0)),"Proyecto sin valor hora. ","")&amp;IF(ISNA(MATCH(D558,Datos!$A$8:$A$22,0)),"Persona fuera del equipo. ","")))</f>
        <v/>
      </c>
      <c r="I558" s="21" t="n"/>
      <c r="J558" s="22" t="n"/>
      <c r="K558" s="23">
        <f>IF(G558="","",IF(J558&lt;&gt;"",MIN(J558,G558),IF(OR(I558="Observada",I558="Rechazada"),0,G558)))</f>
        <v/>
      </c>
      <c r="L558" s="24" t="n"/>
      <c r="M558" s="25">
        <f>IF(OR(A558="",D558=""),0,IF(COUNTIFS($A$2:A558,A558,$D$2:D558,D558)=1,1,0))</f>
        <v/>
      </c>
    </row>
    <row r="559">
      <c r="A559" s="26" t="n"/>
      <c r="B559" s="27" t="n"/>
      <c r="C559" s="27" t="n"/>
      <c r="D559" s="28" t="n"/>
      <c r="E559" s="28" t="n"/>
      <c r="F559" s="29" t="n"/>
      <c r="G559" s="30" t="n"/>
      <c r="H559" s="20">
        <f>IF(A559="","",TRIM(IF(WEEKDAY(A559,2)&gt;5,"Fin de semana. ","")&amp;IF(SUMIFS($G$2:$G$601,$A$2:$A$601,A559,$D$2:$D$601,D559)&gt;9,"Más de 9 h en el día. ","")&amp;IF(AND(B559&lt;&gt;"",C559&lt;&gt;"",C559&lt;B559),"Cruza la medianoche. ","")&amp;IF(LEN(TRIM(F559))&lt;15,"Sin descripción suficiente. ","")&amp;IF(AND(ISERROR(SEARCH("R-0",F559)),ISERROR(SEARCH("CU-",F559))),"Sin ticket. ","")&amp;IF(ISNA(MATCH(E559,Datos!$E$8:$E$22,0)),"Proyecto sin valor hora. ","")&amp;IF(ISNA(MATCH(D559,Datos!$A$8:$A$22,0)),"Persona fuera del equipo. ","")))</f>
        <v/>
      </c>
      <c r="I559" s="21" t="n"/>
      <c r="J559" s="22" t="n"/>
      <c r="K559" s="23">
        <f>IF(G559="","",IF(J559&lt;&gt;"",MIN(J559,G559),IF(OR(I559="Observada",I559="Rechazada"),0,G559)))</f>
        <v/>
      </c>
      <c r="L559" s="24" t="n"/>
      <c r="M559" s="25">
        <f>IF(OR(A559="",D559=""),0,IF(COUNTIFS($A$2:A559,A559,$D$2:D559,D559)=1,1,0))</f>
        <v/>
      </c>
    </row>
    <row r="560">
      <c r="A560" s="26" t="n"/>
      <c r="B560" s="27" t="n"/>
      <c r="C560" s="27" t="n"/>
      <c r="D560" s="28" t="n"/>
      <c r="E560" s="28" t="n"/>
      <c r="F560" s="29" t="n"/>
      <c r="G560" s="30" t="n"/>
      <c r="H560" s="20">
        <f>IF(A560="","",TRIM(IF(WEEKDAY(A560,2)&gt;5,"Fin de semana. ","")&amp;IF(SUMIFS($G$2:$G$601,$A$2:$A$601,A560,$D$2:$D$601,D560)&gt;9,"Más de 9 h en el día. ","")&amp;IF(AND(B560&lt;&gt;"",C560&lt;&gt;"",C560&lt;B560),"Cruza la medianoche. ","")&amp;IF(LEN(TRIM(F560))&lt;15,"Sin descripción suficiente. ","")&amp;IF(AND(ISERROR(SEARCH("R-0",F560)),ISERROR(SEARCH("CU-",F560))),"Sin ticket. ","")&amp;IF(ISNA(MATCH(E560,Datos!$E$8:$E$22,0)),"Proyecto sin valor hora. ","")&amp;IF(ISNA(MATCH(D560,Datos!$A$8:$A$22,0)),"Persona fuera del equipo. ","")))</f>
        <v/>
      </c>
      <c r="I560" s="21" t="n"/>
      <c r="J560" s="22" t="n"/>
      <c r="K560" s="23">
        <f>IF(G560="","",IF(J560&lt;&gt;"",MIN(J560,G560),IF(OR(I560="Observada",I560="Rechazada"),0,G560)))</f>
        <v/>
      </c>
      <c r="L560" s="24" t="n"/>
      <c r="M560" s="25">
        <f>IF(OR(A560="",D560=""),0,IF(COUNTIFS($A$2:A560,A560,$D$2:D560,D560)=1,1,0))</f>
        <v/>
      </c>
    </row>
    <row r="561">
      <c r="A561" s="26" t="n"/>
      <c r="B561" s="27" t="n"/>
      <c r="C561" s="27" t="n"/>
      <c r="D561" s="28" t="n"/>
      <c r="E561" s="28" t="n"/>
      <c r="F561" s="29" t="n"/>
      <c r="G561" s="30" t="n"/>
      <c r="H561" s="20">
        <f>IF(A561="","",TRIM(IF(WEEKDAY(A561,2)&gt;5,"Fin de semana. ","")&amp;IF(SUMIFS($G$2:$G$601,$A$2:$A$601,A561,$D$2:$D$601,D561)&gt;9,"Más de 9 h en el día. ","")&amp;IF(AND(B561&lt;&gt;"",C561&lt;&gt;"",C561&lt;B561),"Cruza la medianoche. ","")&amp;IF(LEN(TRIM(F561))&lt;15,"Sin descripción suficiente. ","")&amp;IF(AND(ISERROR(SEARCH("R-0",F561)),ISERROR(SEARCH("CU-",F561))),"Sin ticket. ","")&amp;IF(ISNA(MATCH(E561,Datos!$E$8:$E$22,0)),"Proyecto sin valor hora. ","")&amp;IF(ISNA(MATCH(D561,Datos!$A$8:$A$22,0)),"Persona fuera del equipo. ","")))</f>
        <v/>
      </c>
      <c r="I561" s="21" t="n"/>
      <c r="J561" s="22" t="n"/>
      <c r="K561" s="23">
        <f>IF(G561="","",IF(J561&lt;&gt;"",MIN(J561,G561),IF(OR(I561="Observada",I561="Rechazada"),0,G561)))</f>
        <v/>
      </c>
      <c r="L561" s="24" t="n"/>
      <c r="M561" s="25">
        <f>IF(OR(A561="",D561=""),0,IF(COUNTIFS($A$2:A561,A561,$D$2:D561,D561)=1,1,0))</f>
        <v/>
      </c>
    </row>
    <row r="562">
      <c r="A562" s="26" t="n"/>
      <c r="B562" s="27" t="n"/>
      <c r="C562" s="27" t="n"/>
      <c r="D562" s="28" t="n"/>
      <c r="E562" s="28" t="n"/>
      <c r="F562" s="29" t="n"/>
      <c r="G562" s="30" t="n"/>
      <c r="H562" s="20">
        <f>IF(A562="","",TRIM(IF(WEEKDAY(A562,2)&gt;5,"Fin de semana. ","")&amp;IF(SUMIFS($G$2:$G$601,$A$2:$A$601,A562,$D$2:$D$601,D562)&gt;9,"Más de 9 h en el día. ","")&amp;IF(AND(B562&lt;&gt;"",C562&lt;&gt;"",C562&lt;B562),"Cruza la medianoche. ","")&amp;IF(LEN(TRIM(F562))&lt;15,"Sin descripción suficiente. ","")&amp;IF(AND(ISERROR(SEARCH("R-0",F562)),ISERROR(SEARCH("CU-",F562))),"Sin ticket. ","")&amp;IF(ISNA(MATCH(E562,Datos!$E$8:$E$22,0)),"Proyecto sin valor hora. ","")&amp;IF(ISNA(MATCH(D562,Datos!$A$8:$A$22,0)),"Persona fuera del equipo. ","")))</f>
        <v/>
      </c>
      <c r="I562" s="21" t="n"/>
      <c r="J562" s="22" t="n"/>
      <c r="K562" s="23">
        <f>IF(G562="","",IF(J562&lt;&gt;"",MIN(J562,G562),IF(OR(I562="Observada",I562="Rechazada"),0,G562)))</f>
        <v/>
      </c>
      <c r="L562" s="24" t="n"/>
      <c r="M562" s="25">
        <f>IF(OR(A562="",D562=""),0,IF(COUNTIFS($A$2:A562,A562,$D$2:D562,D562)=1,1,0))</f>
        <v/>
      </c>
    </row>
    <row r="563">
      <c r="A563" s="26" t="n"/>
      <c r="B563" s="27" t="n"/>
      <c r="C563" s="27" t="n"/>
      <c r="D563" s="28" t="n"/>
      <c r="E563" s="28" t="n"/>
      <c r="F563" s="29" t="n"/>
      <c r="G563" s="30" t="n"/>
      <c r="H563" s="20">
        <f>IF(A563="","",TRIM(IF(WEEKDAY(A563,2)&gt;5,"Fin de semana. ","")&amp;IF(SUMIFS($G$2:$G$601,$A$2:$A$601,A563,$D$2:$D$601,D563)&gt;9,"Más de 9 h en el día. ","")&amp;IF(AND(B563&lt;&gt;"",C563&lt;&gt;"",C563&lt;B563),"Cruza la medianoche. ","")&amp;IF(LEN(TRIM(F563))&lt;15,"Sin descripción suficiente. ","")&amp;IF(AND(ISERROR(SEARCH("R-0",F563)),ISERROR(SEARCH("CU-",F563))),"Sin ticket. ","")&amp;IF(ISNA(MATCH(E563,Datos!$E$8:$E$22,0)),"Proyecto sin valor hora. ","")&amp;IF(ISNA(MATCH(D563,Datos!$A$8:$A$22,0)),"Persona fuera del equipo. ","")))</f>
        <v/>
      </c>
      <c r="I563" s="21" t="n"/>
      <c r="J563" s="22" t="n"/>
      <c r="K563" s="23">
        <f>IF(G563="","",IF(J563&lt;&gt;"",MIN(J563,G563),IF(OR(I563="Observada",I563="Rechazada"),0,G563)))</f>
        <v/>
      </c>
      <c r="L563" s="24" t="n"/>
      <c r="M563" s="25">
        <f>IF(OR(A563="",D563=""),0,IF(COUNTIFS($A$2:A563,A563,$D$2:D563,D563)=1,1,0))</f>
        <v/>
      </c>
    </row>
    <row r="564">
      <c r="A564" s="26" t="n"/>
      <c r="B564" s="27" t="n"/>
      <c r="C564" s="27" t="n"/>
      <c r="D564" s="28" t="n"/>
      <c r="E564" s="28" t="n"/>
      <c r="F564" s="29" t="n"/>
      <c r="G564" s="30" t="n"/>
      <c r="H564" s="20">
        <f>IF(A564="","",TRIM(IF(WEEKDAY(A564,2)&gt;5,"Fin de semana. ","")&amp;IF(SUMIFS($G$2:$G$601,$A$2:$A$601,A564,$D$2:$D$601,D564)&gt;9,"Más de 9 h en el día. ","")&amp;IF(AND(B564&lt;&gt;"",C564&lt;&gt;"",C564&lt;B564),"Cruza la medianoche. ","")&amp;IF(LEN(TRIM(F564))&lt;15,"Sin descripción suficiente. ","")&amp;IF(AND(ISERROR(SEARCH("R-0",F564)),ISERROR(SEARCH("CU-",F564))),"Sin ticket. ","")&amp;IF(ISNA(MATCH(E564,Datos!$E$8:$E$22,0)),"Proyecto sin valor hora. ","")&amp;IF(ISNA(MATCH(D564,Datos!$A$8:$A$22,0)),"Persona fuera del equipo. ","")))</f>
        <v/>
      </c>
      <c r="I564" s="21" t="n"/>
      <c r="J564" s="22" t="n"/>
      <c r="K564" s="23">
        <f>IF(G564="","",IF(J564&lt;&gt;"",MIN(J564,G564),IF(OR(I564="Observada",I564="Rechazada"),0,G564)))</f>
        <v/>
      </c>
      <c r="L564" s="24" t="n"/>
      <c r="M564" s="25">
        <f>IF(OR(A564="",D564=""),0,IF(COUNTIFS($A$2:A564,A564,$D$2:D564,D564)=1,1,0))</f>
        <v/>
      </c>
    </row>
    <row r="565">
      <c r="A565" s="26" t="n"/>
      <c r="B565" s="27" t="n"/>
      <c r="C565" s="27" t="n"/>
      <c r="D565" s="28" t="n"/>
      <c r="E565" s="28" t="n"/>
      <c r="F565" s="29" t="n"/>
      <c r="G565" s="30" t="n"/>
      <c r="H565" s="20">
        <f>IF(A565="","",TRIM(IF(WEEKDAY(A565,2)&gt;5,"Fin de semana. ","")&amp;IF(SUMIFS($G$2:$G$601,$A$2:$A$601,A565,$D$2:$D$601,D565)&gt;9,"Más de 9 h en el día. ","")&amp;IF(AND(B565&lt;&gt;"",C565&lt;&gt;"",C565&lt;B565),"Cruza la medianoche. ","")&amp;IF(LEN(TRIM(F565))&lt;15,"Sin descripción suficiente. ","")&amp;IF(AND(ISERROR(SEARCH("R-0",F565)),ISERROR(SEARCH("CU-",F565))),"Sin ticket. ","")&amp;IF(ISNA(MATCH(E565,Datos!$E$8:$E$22,0)),"Proyecto sin valor hora. ","")&amp;IF(ISNA(MATCH(D565,Datos!$A$8:$A$22,0)),"Persona fuera del equipo. ","")))</f>
        <v/>
      </c>
      <c r="I565" s="21" t="n"/>
      <c r="J565" s="22" t="n"/>
      <c r="K565" s="23">
        <f>IF(G565="","",IF(J565&lt;&gt;"",MIN(J565,G565),IF(OR(I565="Observada",I565="Rechazada"),0,G565)))</f>
        <v/>
      </c>
      <c r="L565" s="24" t="n"/>
      <c r="M565" s="25">
        <f>IF(OR(A565="",D565=""),0,IF(COUNTIFS($A$2:A565,A565,$D$2:D565,D565)=1,1,0))</f>
        <v/>
      </c>
    </row>
    <row r="566">
      <c r="A566" s="26" t="n"/>
      <c r="B566" s="27" t="n"/>
      <c r="C566" s="27" t="n"/>
      <c r="D566" s="28" t="n"/>
      <c r="E566" s="28" t="n"/>
      <c r="F566" s="29" t="n"/>
      <c r="G566" s="30" t="n"/>
      <c r="H566" s="20">
        <f>IF(A566="","",TRIM(IF(WEEKDAY(A566,2)&gt;5,"Fin de semana. ","")&amp;IF(SUMIFS($G$2:$G$601,$A$2:$A$601,A566,$D$2:$D$601,D566)&gt;9,"Más de 9 h en el día. ","")&amp;IF(AND(B566&lt;&gt;"",C566&lt;&gt;"",C566&lt;B566),"Cruza la medianoche. ","")&amp;IF(LEN(TRIM(F566))&lt;15,"Sin descripción suficiente. ","")&amp;IF(AND(ISERROR(SEARCH("R-0",F566)),ISERROR(SEARCH("CU-",F566))),"Sin ticket. ","")&amp;IF(ISNA(MATCH(E566,Datos!$E$8:$E$22,0)),"Proyecto sin valor hora. ","")&amp;IF(ISNA(MATCH(D566,Datos!$A$8:$A$22,0)),"Persona fuera del equipo. ","")))</f>
        <v/>
      </c>
      <c r="I566" s="21" t="n"/>
      <c r="J566" s="22" t="n"/>
      <c r="K566" s="23">
        <f>IF(G566="","",IF(J566&lt;&gt;"",MIN(J566,G566),IF(OR(I566="Observada",I566="Rechazada"),0,G566)))</f>
        <v/>
      </c>
      <c r="L566" s="24" t="n"/>
      <c r="M566" s="25">
        <f>IF(OR(A566="",D566=""),0,IF(COUNTIFS($A$2:A566,A566,$D$2:D566,D566)=1,1,0))</f>
        <v/>
      </c>
    </row>
    <row r="567">
      <c r="A567" s="26" t="n"/>
      <c r="B567" s="27" t="n"/>
      <c r="C567" s="27" t="n"/>
      <c r="D567" s="28" t="n"/>
      <c r="E567" s="28" t="n"/>
      <c r="F567" s="29" t="n"/>
      <c r="G567" s="30" t="n"/>
      <c r="H567" s="20">
        <f>IF(A567="","",TRIM(IF(WEEKDAY(A567,2)&gt;5,"Fin de semana. ","")&amp;IF(SUMIFS($G$2:$G$601,$A$2:$A$601,A567,$D$2:$D$601,D567)&gt;9,"Más de 9 h en el día. ","")&amp;IF(AND(B567&lt;&gt;"",C567&lt;&gt;"",C567&lt;B567),"Cruza la medianoche. ","")&amp;IF(LEN(TRIM(F567))&lt;15,"Sin descripción suficiente. ","")&amp;IF(AND(ISERROR(SEARCH("R-0",F567)),ISERROR(SEARCH("CU-",F567))),"Sin ticket. ","")&amp;IF(ISNA(MATCH(E567,Datos!$E$8:$E$22,0)),"Proyecto sin valor hora. ","")&amp;IF(ISNA(MATCH(D567,Datos!$A$8:$A$22,0)),"Persona fuera del equipo. ","")))</f>
        <v/>
      </c>
      <c r="I567" s="21" t="n"/>
      <c r="J567" s="22" t="n"/>
      <c r="K567" s="23">
        <f>IF(G567="","",IF(J567&lt;&gt;"",MIN(J567,G567),IF(OR(I567="Observada",I567="Rechazada"),0,G567)))</f>
        <v/>
      </c>
      <c r="L567" s="24" t="n"/>
      <c r="M567" s="25">
        <f>IF(OR(A567="",D567=""),0,IF(COUNTIFS($A$2:A567,A567,$D$2:D567,D567)=1,1,0))</f>
        <v/>
      </c>
    </row>
    <row r="568">
      <c r="A568" s="26" t="n"/>
      <c r="B568" s="27" t="n"/>
      <c r="C568" s="27" t="n"/>
      <c r="D568" s="28" t="n"/>
      <c r="E568" s="28" t="n"/>
      <c r="F568" s="29" t="n"/>
      <c r="G568" s="30" t="n"/>
      <c r="H568" s="20">
        <f>IF(A568="","",TRIM(IF(WEEKDAY(A568,2)&gt;5,"Fin de semana. ","")&amp;IF(SUMIFS($G$2:$G$601,$A$2:$A$601,A568,$D$2:$D$601,D568)&gt;9,"Más de 9 h en el día. ","")&amp;IF(AND(B568&lt;&gt;"",C568&lt;&gt;"",C568&lt;B568),"Cruza la medianoche. ","")&amp;IF(LEN(TRIM(F568))&lt;15,"Sin descripción suficiente. ","")&amp;IF(AND(ISERROR(SEARCH("R-0",F568)),ISERROR(SEARCH("CU-",F568))),"Sin ticket. ","")&amp;IF(ISNA(MATCH(E568,Datos!$E$8:$E$22,0)),"Proyecto sin valor hora. ","")&amp;IF(ISNA(MATCH(D568,Datos!$A$8:$A$22,0)),"Persona fuera del equipo. ","")))</f>
        <v/>
      </c>
      <c r="I568" s="21" t="n"/>
      <c r="J568" s="22" t="n"/>
      <c r="K568" s="23">
        <f>IF(G568="","",IF(J568&lt;&gt;"",MIN(J568,G568),IF(OR(I568="Observada",I568="Rechazada"),0,G568)))</f>
        <v/>
      </c>
      <c r="L568" s="24" t="n"/>
      <c r="M568" s="25">
        <f>IF(OR(A568="",D568=""),0,IF(COUNTIFS($A$2:A568,A568,$D$2:D568,D568)=1,1,0))</f>
        <v/>
      </c>
    </row>
    <row r="569">
      <c r="A569" s="26" t="n"/>
      <c r="B569" s="27" t="n"/>
      <c r="C569" s="27" t="n"/>
      <c r="D569" s="28" t="n"/>
      <c r="E569" s="28" t="n"/>
      <c r="F569" s="29" t="n"/>
      <c r="G569" s="30" t="n"/>
      <c r="H569" s="20">
        <f>IF(A569="","",TRIM(IF(WEEKDAY(A569,2)&gt;5,"Fin de semana. ","")&amp;IF(SUMIFS($G$2:$G$601,$A$2:$A$601,A569,$D$2:$D$601,D569)&gt;9,"Más de 9 h en el día. ","")&amp;IF(AND(B569&lt;&gt;"",C569&lt;&gt;"",C569&lt;B569),"Cruza la medianoche. ","")&amp;IF(LEN(TRIM(F569))&lt;15,"Sin descripción suficiente. ","")&amp;IF(AND(ISERROR(SEARCH("R-0",F569)),ISERROR(SEARCH("CU-",F569))),"Sin ticket. ","")&amp;IF(ISNA(MATCH(E569,Datos!$E$8:$E$22,0)),"Proyecto sin valor hora. ","")&amp;IF(ISNA(MATCH(D569,Datos!$A$8:$A$22,0)),"Persona fuera del equipo. ","")))</f>
        <v/>
      </c>
      <c r="I569" s="21" t="n"/>
      <c r="J569" s="22" t="n"/>
      <c r="K569" s="23">
        <f>IF(G569="","",IF(J569&lt;&gt;"",MIN(J569,G569),IF(OR(I569="Observada",I569="Rechazada"),0,G569)))</f>
        <v/>
      </c>
      <c r="L569" s="24" t="n"/>
      <c r="M569" s="25">
        <f>IF(OR(A569="",D569=""),0,IF(COUNTIFS($A$2:A569,A569,$D$2:D569,D569)=1,1,0))</f>
        <v/>
      </c>
    </row>
    <row r="570">
      <c r="A570" s="26" t="n"/>
      <c r="B570" s="27" t="n"/>
      <c r="C570" s="27" t="n"/>
      <c r="D570" s="28" t="n"/>
      <c r="E570" s="28" t="n"/>
      <c r="F570" s="29" t="n"/>
      <c r="G570" s="30" t="n"/>
      <c r="H570" s="20">
        <f>IF(A570="","",TRIM(IF(WEEKDAY(A570,2)&gt;5,"Fin de semana. ","")&amp;IF(SUMIFS($G$2:$G$601,$A$2:$A$601,A570,$D$2:$D$601,D570)&gt;9,"Más de 9 h en el día. ","")&amp;IF(AND(B570&lt;&gt;"",C570&lt;&gt;"",C570&lt;B570),"Cruza la medianoche. ","")&amp;IF(LEN(TRIM(F570))&lt;15,"Sin descripción suficiente. ","")&amp;IF(AND(ISERROR(SEARCH("R-0",F570)),ISERROR(SEARCH("CU-",F570))),"Sin ticket. ","")&amp;IF(ISNA(MATCH(E570,Datos!$E$8:$E$22,0)),"Proyecto sin valor hora. ","")&amp;IF(ISNA(MATCH(D570,Datos!$A$8:$A$22,0)),"Persona fuera del equipo. ","")))</f>
        <v/>
      </c>
      <c r="I570" s="21" t="n"/>
      <c r="J570" s="22" t="n"/>
      <c r="K570" s="23">
        <f>IF(G570="","",IF(J570&lt;&gt;"",MIN(J570,G570),IF(OR(I570="Observada",I570="Rechazada"),0,G570)))</f>
        <v/>
      </c>
      <c r="L570" s="24" t="n"/>
      <c r="M570" s="25">
        <f>IF(OR(A570="",D570=""),0,IF(COUNTIFS($A$2:A570,A570,$D$2:D570,D570)=1,1,0))</f>
        <v/>
      </c>
    </row>
    <row r="571">
      <c r="A571" s="26" t="n"/>
      <c r="B571" s="27" t="n"/>
      <c r="C571" s="27" t="n"/>
      <c r="D571" s="28" t="n"/>
      <c r="E571" s="28" t="n"/>
      <c r="F571" s="29" t="n"/>
      <c r="G571" s="30" t="n"/>
      <c r="H571" s="20">
        <f>IF(A571="","",TRIM(IF(WEEKDAY(A571,2)&gt;5,"Fin de semana. ","")&amp;IF(SUMIFS($G$2:$G$601,$A$2:$A$601,A571,$D$2:$D$601,D571)&gt;9,"Más de 9 h en el día. ","")&amp;IF(AND(B571&lt;&gt;"",C571&lt;&gt;"",C571&lt;B571),"Cruza la medianoche. ","")&amp;IF(LEN(TRIM(F571))&lt;15,"Sin descripción suficiente. ","")&amp;IF(AND(ISERROR(SEARCH("R-0",F571)),ISERROR(SEARCH("CU-",F571))),"Sin ticket. ","")&amp;IF(ISNA(MATCH(E571,Datos!$E$8:$E$22,0)),"Proyecto sin valor hora. ","")&amp;IF(ISNA(MATCH(D571,Datos!$A$8:$A$22,0)),"Persona fuera del equipo. ","")))</f>
        <v/>
      </c>
      <c r="I571" s="21" t="n"/>
      <c r="J571" s="22" t="n"/>
      <c r="K571" s="23">
        <f>IF(G571="","",IF(J571&lt;&gt;"",MIN(J571,G571),IF(OR(I571="Observada",I571="Rechazada"),0,G571)))</f>
        <v/>
      </c>
      <c r="L571" s="24" t="n"/>
      <c r="M571" s="25">
        <f>IF(OR(A571="",D571=""),0,IF(COUNTIFS($A$2:A571,A571,$D$2:D571,D571)=1,1,0))</f>
        <v/>
      </c>
    </row>
    <row r="572">
      <c r="A572" s="26" t="n"/>
      <c r="B572" s="27" t="n"/>
      <c r="C572" s="27" t="n"/>
      <c r="D572" s="28" t="n"/>
      <c r="E572" s="28" t="n"/>
      <c r="F572" s="29" t="n"/>
      <c r="G572" s="30" t="n"/>
      <c r="H572" s="20">
        <f>IF(A572="","",TRIM(IF(WEEKDAY(A572,2)&gt;5,"Fin de semana. ","")&amp;IF(SUMIFS($G$2:$G$601,$A$2:$A$601,A572,$D$2:$D$601,D572)&gt;9,"Más de 9 h en el día. ","")&amp;IF(AND(B572&lt;&gt;"",C572&lt;&gt;"",C572&lt;B572),"Cruza la medianoche. ","")&amp;IF(LEN(TRIM(F572))&lt;15,"Sin descripción suficiente. ","")&amp;IF(AND(ISERROR(SEARCH("R-0",F572)),ISERROR(SEARCH("CU-",F572))),"Sin ticket. ","")&amp;IF(ISNA(MATCH(E572,Datos!$E$8:$E$22,0)),"Proyecto sin valor hora. ","")&amp;IF(ISNA(MATCH(D572,Datos!$A$8:$A$22,0)),"Persona fuera del equipo. ","")))</f>
        <v/>
      </c>
      <c r="I572" s="21" t="n"/>
      <c r="J572" s="22" t="n"/>
      <c r="K572" s="23">
        <f>IF(G572="","",IF(J572&lt;&gt;"",MIN(J572,G572),IF(OR(I572="Observada",I572="Rechazada"),0,G572)))</f>
        <v/>
      </c>
      <c r="L572" s="24" t="n"/>
      <c r="M572" s="25">
        <f>IF(OR(A572="",D572=""),0,IF(COUNTIFS($A$2:A572,A572,$D$2:D572,D572)=1,1,0))</f>
        <v/>
      </c>
    </row>
    <row r="573">
      <c r="A573" s="26" t="n"/>
      <c r="B573" s="27" t="n"/>
      <c r="C573" s="27" t="n"/>
      <c r="D573" s="28" t="n"/>
      <c r="E573" s="28" t="n"/>
      <c r="F573" s="29" t="n"/>
      <c r="G573" s="30" t="n"/>
      <c r="H573" s="20">
        <f>IF(A573="","",TRIM(IF(WEEKDAY(A573,2)&gt;5,"Fin de semana. ","")&amp;IF(SUMIFS($G$2:$G$601,$A$2:$A$601,A573,$D$2:$D$601,D573)&gt;9,"Más de 9 h en el día. ","")&amp;IF(AND(B573&lt;&gt;"",C573&lt;&gt;"",C573&lt;B573),"Cruza la medianoche. ","")&amp;IF(LEN(TRIM(F573))&lt;15,"Sin descripción suficiente. ","")&amp;IF(AND(ISERROR(SEARCH("R-0",F573)),ISERROR(SEARCH("CU-",F573))),"Sin ticket. ","")&amp;IF(ISNA(MATCH(E573,Datos!$E$8:$E$22,0)),"Proyecto sin valor hora. ","")&amp;IF(ISNA(MATCH(D573,Datos!$A$8:$A$22,0)),"Persona fuera del equipo. ","")))</f>
        <v/>
      </c>
      <c r="I573" s="21" t="n"/>
      <c r="J573" s="22" t="n"/>
      <c r="K573" s="23">
        <f>IF(G573="","",IF(J573&lt;&gt;"",MIN(J573,G573),IF(OR(I573="Observada",I573="Rechazada"),0,G573)))</f>
        <v/>
      </c>
      <c r="L573" s="24" t="n"/>
      <c r="M573" s="25">
        <f>IF(OR(A573="",D573=""),0,IF(COUNTIFS($A$2:A573,A573,$D$2:D573,D573)=1,1,0))</f>
        <v/>
      </c>
    </row>
    <row r="574">
      <c r="A574" s="26" t="n"/>
      <c r="B574" s="27" t="n"/>
      <c r="C574" s="27" t="n"/>
      <c r="D574" s="28" t="n"/>
      <c r="E574" s="28" t="n"/>
      <c r="F574" s="29" t="n"/>
      <c r="G574" s="30" t="n"/>
      <c r="H574" s="20">
        <f>IF(A574="","",TRIM(IF(WEEKDAY(A574,2)&gt;5,"Fin de semana. ","")&amp;IF(SUMIFS($G$2:$G$601,$A$2:$A$601,A574,$D$2:$D$601,D574)&gt;9,"Más de 9 h en el día. ","")&amp;IF(AND(B574&lt;&gt;"",C574&lt;&gt;"",C574&lt;B574),"Cruza la medianoche. ","")&amp;IF(LEN(TRIM(F574))&lt;15,"Sin descripción suficiente. ","")&amp;IF(AND(ISERROR(SEARCH("R-0",F574)),ISERROR(SEARCH("CU-",F574))),"Sin ticket. ","")&amp;IF(ISNA(MATCH(E574,Datos!$E$8:$E$22,0)),"Proyecto sin valor hora. ","")&amp;IF(ISNA(MATCH(D574,Datos!$A$8:$A$22,0)),"Persona fuera del equipo. ","")))</f>
        <v/>
      </c>
      <c r="I574" s="21" t="n"/>
      <c r="J574" s="22" t="n"/>
      <c r="K574" s="23">
        <f>IF(G574="","",IF(J574&lt;&gt;"",MIN(J574,G574),IF(OR(I574="Observada",I574="Rechazada"),0,G574)))</f>
        <v/>
      </c>
      <c r="L574" s="24" t="n"/>
      <c r="M574" s="25">
        <f>IF(OR(A574="",D574=""),0,IF(COUNTIFS($A$2:A574,A574,$D$2:D574,D574)=1,1,0))</f>
        <v/>
      </c>
    </row>
    <row r="575">
      <c r="A575" s="26" t="n"/>
      <c r="B575" s="27" t="n"/>
      <c r="C575" s="27" t="n"/>
      <c r="D575" s="28" t="n"/>
      <c r="E575" s="28" t="n"/>
      <c r="F575" s="29" t="n"/>
      <c r="G575" s="30" t="n"/>
      <c r="H575" s="20">
        <f>IF(A575="","",TRIM(IF(WEEKDAY(A575,2)&gt;5,"Fin de semana. ","")&amp;IF(SUMIFS($G$2:$G$601,$A$2:$A$601,A575,$D$2:$D$601,D575)&gt;9,"Más de 9 h en el día. ","")&amp;IF(AND(B575&lt;&gt;"",C575&lt;&gt;"",C575&lt;B575),"Cruza la medianoche. ","")&amp;IF(LEN(TRIM(F575))&lt;15,"Sin descripción suficiente. ","")&amp;IF(AND(ISERROR(SEARCH("R-0",F575)),ISERROR(SEARCH("CU-",F575))),"Sin ticket. ","")&amp;IF(ISNA(MATCH(E575,Datos!$E$8:$E$22,0)),"Proyecto sin valor hora. ","")&amp;IF(ISNA(MATCH(D575,Datos!$A$8:$A$22,0)),"Persona fuera del equipo. ","")))</f>
        <v/>
      </c>
      <c r="I575" s="21" t="n"/>
      <c r="J575" s="22" t="n"/>
      <c r="K575" s="23">
        <f>IF(G575="","",IF(J575&lt;&gt;"",MIN(J575,G575),IF(OR(I575="Observada",I575="Rechazada"),0,G575)))</f>
        <v/>
      </c>
      <c r="L575" s="24" t="n"/>
      <c r="M575" s="25">
        <f>IF(OR(A575="",D575=""),0,IF(COUNTIFS($A$2:A575,A575,$D$2:D575,D575)=1,1,0))</f>
        <v/>
      </c>
    </row>
    <row r="576">
      <c r="A576" s="26" t="n"/>
      <c r="B576" s="27" t="n"/>
      <c r="C576" s="27" t="n"/>
      <c r="D576" s="28" t="n"/>
      <c r="E576" s="28" t="n"/>
      <c r="F576" s="29" t="n"/>
      <c r="G576" s="30" t="n"/>
      <c r="H576" s="20">
        <f>IF(A576="","",TRIM(IF(WEEKDAY(A576,2)&gt;5,"Fin de semana. ","")&amp;IF(SUMIFS($G$2:$G$601,$A$2:$A$601,A576,$D$2:$D$601,D576)&gt;9,"Más de 9 h en el día. ","")&amp;IF(AND(B576&lt;&gt;"",C576&lt;&gt;"",C576&lt;B576),"Cruza la medianoche. ","")&amp;IF(LEN(TRIM(F576))&lt;15,"Sin descripción suficiente. ","")&amp;IF(AND(ISERROR(SEARCH("R-0",F576)),ISERROR(SEARCH("CU-",F576))),"Sin ticket. ","")&amp;IF(ISNA(MATCH(E576,Datos!$E$8:$E$22,0)),"Proyecto sin valor hora. ","")&amp;IF(ISNA(MATCH(D576,Datos!$A$8:$A$22,0)),"Persona fuera del equipo. ","")))</f>
        <v/>
      </c>
      <c r="I576" s="21" t="n"/>
      <c r="J576" s="22" t="n"/>
      <c r="K576" s="23">
        <f>IF(G576="","",IF(J576&lt;&gt;"",MIN(J576,G576),IF(OR(I576="Observada",I576="Rechazada"),0,G576)))</f>
        <v/>
      </c>
      <c r="L576" s="24" t="n"/>
      <c r="M576" s="25">
        <f>IF(OR(A576="",D576=""),0,IF(COUNTIFS($A$2:A576,A576,$D$2:D576,D576)=1,1,0))</f>
        <v/>
      </c>
    </row>
    <row r="577">
      <c r="A577" s="26" t="n"/>
      <c r="B577" s="27" t="n"/>
      <c r="C577" s="27" t="n"/>
      <c r="D577" s="28" t="n"/>
      <c r="E577" s="28" t="n"/>
      <c r="F577" s="29" t="n"/>
      <c r="G577" s="30" t="n"/>
      <c r="H577" s="20">
        <f>IF(A577="","",TRIM(IF(WEEKDAY(A577,2)&gt;5,"Fin de semana. ","")&amp;IF(SUMIFS($G$2:$G$601,$A$2:$A$601,A577,$D$2:$D$601,D577)&gt;9,"Más de 9 h en el día. ","")&amp;IF(AND(B577&lt;&gt;"",C577&lt;&gt;"",C577&lt;B577),"Cruza la medianoche. ","")&amp;IF(LEN(TRIM(F577))&lt;15,"Sin descripción suficiente. ","")&amp;IF(AND(ISERROR(SEARCH("R-0",F577)),ISERROR(SEARCH("CU-",F577))),"Sin ticket. ","")&amp;IF(ISNA(MATCH(E577,Datos!$E$8:$E$22,0)),"Proyecto sin valor hora. ","")&amp;IF(ISNA(MATCH(D577,Datos!$A$8:$A$22,0)),"Persona fuera del equipo. ","")))</f>
        <v/>
      </c>
      <c r="I577" s="21" t="n"/>
      <c r="J577" s="22" t="n"/>
      <c r="K577" s="23">
        <f>IF(G577="","",IF(J577&lt;&gt;"",MIN(J577,G577),IF(OR(I577="Observada",I577="Rechazada"),0,G577)))</f>
        <v/>
      </c>
      <c r="L577" s="24" t="n"/>
      <c r="M577" s="25">
        <f>IF(OR(A577="",D577=""),0,IF(COUNTIFS($A$2:A577,A577,$D$2:D577,D577)=1,1,0))</f>
        <v/>
      </c>
    </row>
    <row r="578">
      <c r="A578" s="26" t="n"/>
      <c r="B578" s="27" t="n"/>
      <c r="C578" s="27" t="n"/>
      <c r="D578" s="28" t="n"/>
      <c r="E578" s="28" t="n"/>
      <c r="F578" s="29" t="n"/>
      <c r="G578" s="30" t="n"/>
      <c r="H578" s="20">
        <f>IF(A578="","",TRIM(IF(WEEKDAY(A578,2)&gt;5,"Fin de semana. ","")&amp;IF(SUMIFS($G$2:$G$601,$A$2:$A$601,A578,$D$2:$D$601,D578)&gt;9,"Más de 9 h en el día. ","")&amp;IF(AND(B578&lt;&gt;"",C578&lt;&gt;"",C578&lt;B578),"Cruza la medianoche. ","")&amp;IF(LEN(TRIM(F578))&lt;15,"Sin descripción suficiente. ","")&amp;IF(AND(ISERROR(SEARCH("R-0",F578)),ISERROR(SEARCH("CU-",F578))),"Sin ticket. ","")&amp;IF(ISNA(MATCH(E578,Datos!$E$8:$E$22,0)),"Proyecto sin valor hora. ","")&amp;IF(ISNA(MATCH(D578,Datos!$A$8:$A$22,0)),"Persona fuera del equipo. ","")))</f>
        <v/>
      </c>
      <c r="I578" s="21" t="n"/>
      <c r="J578" s="22" t="n"/>
      <c r="K578" s="23">
        <f>IF(G578="","",IF(J578&lt;&gt;"",MIN(J578,G578),IF(OR(I578="Observada",I578="Rechazada"),0,G578)))</f>
        <v/>
      </c>
      <c r="L578" s="24" t="n"/>
      <c r="M578" s="25">
        <f>IF(OR(A578="",D578=""),0,IF(COUNTIFS($A$2:A578,A578,$D$2:D578,D578)=1,1,0))</f>
        <v/>
      </c>
    </row>
    <row r="579">
      <c r="A579" s="26" t="n"/>
      <c r="B579" s="27" t="n"/>
      <c r="C579" s="27" t="n"/>
      <c r="D579" s="28" t="n"/>
      <c r="E579" s="28" t="n"/>
      <c r="F579" s="29" t="n"/>
      <c r="G579" s="30" t="n"/>
      <c r="H579" s="20">
        <f>IF(A579="","",TRIM(IF(WEEKDAY(A579,2)&gt;5,"Fin de semana. ","")&amp;IF(SUMIFS($G$2:$G$601,$A$2:$A$601,A579,$D$2:$D$601,D579)&gt;9,"Más de 9 h en el día. ","")&amp;IF(AND(B579&lt;&gt;"",C579&lt;&gt;"",C579&lt;B579),"Cruza la medianoche. ","")&amp;IF(LEN(TRIM(F579))&lt;15,"Sin descripción suficiente. ","")&amp;IF(AND(ISERROR(SEARCH("R-0",F579)),ISERROR(SEARCH("CU-",F579))),"Sin ticket. ","")&amp;IF(ISNA(MATCH(E579,Datos!$E$8:$E$22,0)),"Proyecto sin valor hora. ","")&amp;IF(ISNA(MATCH(D579,Datos!$A$8:$A$22,0)),"Persona fuera del equipo. ","")))</f>
        <v/>
      </c>
      <c r="I579" s="21" t="n"/>
      <c r="J579" s="22" t="n"/>
      <c r="K579" s="23">
        <f>IF(G579="","",IF(J579&lt;&gt;"",MIN(J579,G579),IF(OR(I579="Observada",I579="Rechazada"),0,G579)))</f>
        <v/>
      </c>
      <c r="L579" s="24" t="n"/>
      <c r="M579" s="25">
        <f>IF(OR(A579="",D579=""),0,IF(COUNTIFS($A$2:A579,A579,$D$2:D579,D579)=1,1,0))</f>
        <v/>
      </c>
    </row>
    <row r="580">
      <c r="A580" s="26" t="n"/>
      <c r="B580" s="27" t="n"/>
      <c r="C580" s="27" t="n"/>
      <c r="D580" s="28" t="n"/>
      <c r="E580" s="28" t="n"/>
      <c r="F580" s="29" t="n"/>
      <c r="G580" s="30" t="n"/>
      <c r="H580" s="20">
        <f>IF(A580="","",TRIM(IF(WEEKDAY(A580,2)&gt;5,"Fin de semana. ","")&amp;IF(SUMIFS($G$2:$G$601,$A$2:$A$601,A580,$D$2:$D$601,D580)&gt;9,"Más de 9 h en el día. ","")&amp;IF(AND(B580&lt;&gt;"",C580&lt;&gt;"",C580&lt;B580),"Cruza la medianoche. ","")&amp;IF(LEN(TRIM(F580))&lt;15,"Sin descripción suficiente. ","")&amp;IF(AND(ISERROR(SEARCH("R-0",F580)),ISERROR(SEARCH("CU-",F580))),"Sin ticket. ","")&amp;IF(ISNA(MATCH(E580,Datos!$E$8:$E$22,0)),"Proyecto sin valor hora. ","")&amp;IF(ISNA(MATCH(D580,Datos!$A$8:$A$22,0)),"Persona fuera del equipo. ","")))</f>
        <v/>
      </c>
      <c r="I580" s="21" t="n"/>
      <c r="J580" s="22" t="n"/>
      <c r="K580" s="23">
        <f>IF(G580="","",IF(J580&lt;&gt;"",MIN(J580,G580),IF(OR(I580="Observada",I580="Rechazada"),0,G580)))</f>
        <v/>
      </c>
      <c r="L580" s="24" t="n"/>
      <c r="M580" s="25">
        <f>IF(OR(A580="",D580=""),0,IF(COUNTIFS($A$2:A580,A580,$D$2:D580,D580)=1,1,0))</f>
        <v/>
      </c>
    </row>
    <row r="581">
      <c r="A581" s="26" t="n"/>
      <c r="B581" s="27" t="n"/>
      <c r="C581" s="27" t="n"/>
      <c r="D581" s="28" t="n"/>
      <c r="E581" s="28" t="n"/>
      <c r="F581" s="29" t="n"/>
      <c r="G581" s="30" t="n"/>
      <c r="H581" s="20">
        <f>IF(A581="","",TRIM(IF(WEEKDAY(A581,2)&gt;5,"Fin de semana. ","")&amp;IF(SUMIFS($G$2:$G$601,$A$2:$A$601,A581,$D$2:$D$601,D581)&gt;9,"Más de 9 h en el día. ","")&amp;IF(AND(B581&lt;&gt;"",C581&lt;&gt;"",C581&lt;B581),"Cruza la medianoche. ","")&amp;IF(LEN(TRIM(F581))&lt;15,"Sin descripción suficiente. ","")&amp;IF(AND(ISERROR(SEARCH("R-0",F581)),ISERROR(SEARCH("CU-",F581))),"Sin ticket. ","")&amp;IF(ISNA(MATCH(E581,Datos!$E$8:$E$22,0)),"Proyecto sin valor hora. ","")&amp;IF(ISNA(MATCH(D581,Datos!$A$8:$A$22,0)),"Persona fuera del equipo. ","")))</f>
        <v/>
      </c>
      <c r="I581" s="21" t="n"/>
      <c r="J581" s="22" t="n"/>
      <c r="K581" s="23">
        <f>IF(G581="","",IF(J581&lt;&gt;"",MIN(J581,G581),IF(OR(I581="Observada",I581="Rechazada"),0,G581)))</f>
        <v/>
      </c>
      <c r="L581" s="24" t="n"/>
      <c r="M581" s="25">
        <f>IF(OR(A581="",D581=""),0,IF(COUNTIFS($A$2:A581,A581,$D$2:D581,D581)=1,1,0))</f>
        <v/>
      </c>
    </row>
    <row r="582">
      <c r="A582" s="26" t="n"/>
      <c r="B582" s="27" t="n"/>
      <c r="C582" s="27" t="n"/>
      <c r="D582" s="28" t="n"/>
      <c r="E582" s="28" t="n"/>
      <c r="F582" s="29" t="n"/>
      <c r="G582" s="30" t="n"/>
      <c r="H582" s="20">
        <f>IF(A582="","",TRIM(IF(WEEKDAY(A582,2)&gt;5,"Fin de semana. ","")&amp;IF(SUMIFS($G$2:$G$601,$A$2:$A$601,A582,$D$2:$D$601,D582)&gt;9,"Más de 9 h en el día. ","")&amp;IF(AND(B582&lt;&gt;"",C582&lt;&gt;"",C582&lt;B582),"Cruza la medianoche. ","")&amp;IF(LEN(TRIM(F582))&lt;15,"Sin descripción suficiente. ","")&amp;IF(AND(ISERROR(SEARCH("R-0",F582)),ISERROR(SEARCH("CU-",F582))),"Sin ticket. ","")&amp;IF(ISNA(MATCH(E582,Datos!$E$8:$E$22,0)),"Proyecto sin valor hora. ","")&amp;IF(ISNA(MATCH(D582,Datos!$A$8:$A$22,0)),"Persona fuera del equipo. ","")))</f>
        <v/>
      </c>
      <c r="I582" s="21" t="n"/>
      <c r="J582" s="22" t="n"/>
      <c r="K582" s="23">
        <f>IF(G582="","",IF(J582&lt;&gt;"",MIN(J582,G582),IF(OR(I582="Observada",I582="Rechazada"),0,G582)))</f>
        <v/>
      </c>
      <c r="L582" s="24" t="n"/>
      <c r="M582" s="25">
        <f>IF(OR(A582="",D582=""),0,IF(COUNTIFS($A$2:A582,A582,$D$2:D582,D582)=1,1,0))</f>
        <v/>
      </c>
    </row>
    <row r="583">
      <c r="A583" s="26" t="n"/>
      <c r="B583" s="27" t="n"/>
      <c r="C583" s="27" t="n"/>
      <c r="D583" s="28" t="n"/>
      <c r="E583" s="28" t="n"/>
      <c r="F583" s="29" t="n"/>
      <c r="G583" s="30" t="n"/>
      <c r="H583" s="20">
        <f>IF(A583="","",TRIM(IF(WEEKDAY(A583,2)&gt;5,"Fin de semana. ","")&amp;IF(SUMIFS($G$2:$G$601,$A$2:$A$601,A583,$D$2:$D$601,D583)&gt;9,"Más de 9 h en el día. ","")&amp;IF(AND(B583&lt;&gt;"",C583&lt;&gt;"",C583&lt;B583),"Cruza la medianoche. ","")&amp;IF(LEN(TRIM(F583))&lt;15,"Sin descripción suficiente. ","")&amp;IF(AND(ISERROR(SEARCH("R-0",F583)),ISERROR(SEARCH("CU-",F583))),"Sin ticket. ","")&amp;IF(ISNA(MATCH(E583,Datos!$E$8:$E$22,0)),"Proyecto sin valor hora. ","")&amp;IF(ISNA(MATCH(D583,Datos!$A$8:$A$22,0)),"Persona fuera del equipo. ","")))</f>
        <v/>
      </c>
      <c r="I583" s="21" t="n"/>
      <c r="J583" s="22" t="n"/>
      <c r="K583" s="23">
        <f>IF(G583="","",IF(J583&lt;&gt;"",MIN(J583,G583),IF(OR(I583="Observada",I583="Rechazada"),0,G583)))</f>
        <v/>
      </c>
      <c r="L583" s="24" t="n"/>
      <c r="M583" s="25">
        <f>IF(OR(A583="",D583=""),0,IF(COUNTIFS($A$2:A583,A583,$D$2:D583,D583)=1,1,0))</f>
        <v/>
      </c>
    </row>
    <row r="584">
      <c r="A584" s="26" t="n"/>
      <c r="B584" s="27" t="n"/>
      <c r="C584" s="27" t="n"/>
      <c r="D584" s="28" t="n"/>
      <c r="E584" s="28" t="n"/>
      <c r="F584" s="29" t="n"/>
      <c r="G584" s="30" t="n"/>
      <c r="H584" s="20">
        <f>IF(A584="","",TRIM(IF(WEEKDAY(A584,2)&gt;5,"Fin de semana. ","")&amp;IF(SUMIFS($G$2:$G$601,$A$2:$A$601,A584,$D$2:$D$601,D584)&gt;9,"Más de 9 h en el día. ","")&amp;IF(AND(B584&lt;&gt;"",C584&lt;&gt;"",C584&lt;B584),"Cruza la medianoche. ","")&amp;IF(LEN(TRIM(F584))&lt;15,"Sin descripción suficiente. ","")&amp;IF(AND(ISERROR(SEARCH("R-0",F584)),ISERROR(SEARCH("CU-",F584))),"Sin ticket. ","")&amp;IF(ISNA(MATCH(E584,Datos!$E$8:$E$22,0)),"Proyecto sin valor hora. ","")&amp;IF(ISNA(MATCH(D584,Datos!$A$8:$A$22,0)),"Persona fuera del equipo. ","")))</f>
        <v/>
      </c>
      <c r="I584" s="21" t="n"/>
      <c r="J584" s="22" t="n"/>
      <c r="K584" s="23">
        <f>IF(G584="","",IF(J584&lt;&gt;"",MIN(J584,G584),IF(OR(I584="Observada",I584="Rechazada"),0,G584)))</f>
        <v/>
      </c>
      <c r="L584" s="24" t="n"/>
      <c r="M584" s="25">
        <f>IF(OR(A584="",D584=""),0,IF(COUNTIFS($A$2:A584,A584,$D$2:D584,D584)=1,1,0))</f>
        <v/>
      </c>
    </row>
    <row r="585">
      <c r="A585" s="26" t="n"/>
      <c r="B585" s="27" t="n"/>
      <c r="C585" s="27" t="n"/>
      <c r="D585" s="28" t="n"/>
      <c r="E585" s="28" t="n"/>
      <c r="F585" s="29" t="n"/>
      <c r="G585" s="30" t="n"/>
      <c r="H585" s="20">
        <f>IF(A585="","",TRIM(IF(WEEKDAY(A585,2)&gt;5,"Fin de semana. ","")&amp;IF(SUMIFS($G$2:$G$601,$A$2:$A$601,A585,$D$2:$D$601,D585)&gt;9,"Más de 9 h en el día. ","")&amp;IF(AND(B585&lt;&gt;"",C585&lt;&gt;"",C585&lt;B585),"Cruza la medianoche. ","")&amp;IF(LEN(TRIM(F585))&lt;15,"Sin descripción suficiente. ","")&amp;IF(AND(ISERROR(SEARCH("R-0",F585)),ISERROR(SEARCH("CU-",F585))),"Sin ticket. ","")&amp;IF(ISNA(MATCH(E585,Datos!$E$8:$E$22,0)),"Proyecto sin valor hora. ","")&amp;IF(ISNA(MATCH(D585,Datos!$A$8:$A$22,0)),"Persona fuera del equipo. ","")))</f>
        <v/>
      </c>
      <c r="I585" s="21" t="n"/>
      <c r="J585" s="22" t="n"/>
      <c r="K585" s="23">
        <f>IF(G585="","",IF(J585&lt;&gt;"",MIN(J585,G585),IF(OR(I585="Observada",I585="Rechazada"),0,G585)))</f>
        <v/>
      </c>
      <c r="L585" s="24" t="n"/>
      <c r="M585" s="25">
        <f>IF(OR(A585="",D585=""),0,IF(COUNTIFS($A$2:A585,A585,$D$2:D585,D585)=1,1,0))</f>
        <v/>
      </c>
    </row>
    <row r="586">
      <c r="A586" s="26" t="n"/>
      <c r="B586" s="27" t="n"/>
      <c r="C586" s="27" t="n"/>
      <c r="D586" s="28" t="n"/>
      <c r="E586" s="28" t="n"/>
      <c r="F586" s="29" t="n"/>
      <c r="G586" s="30" t="n"/>
      <c r="H586" s="20">
        <f>IF(A586="","",TRIM(IF(WEEKDAY(A586,2)&gt;5,"Fin de semana. ","")&amp;IF(SUMIFS($G$2:$G$601,$A$2:$A$601,A586,$D$2:$D$601,D586)&gt;9,"Más de 9 h en el día. ","")&amp;IF(AND(B586&lt;&gt;"",C586&lt;&gt;"",C586&lt;B586),"Cruza la medianoche. ","")&amp;IF(LEN(TRIM(F586))&lt;15,"Sin descripción suficiente. ","")&amp;IF(AND(ISERROR(SEARCH("R-0",F586)),ISERROR(SEARCH("CU-",F586))),"Sin ticket. ","")&amp;IF(ISNA(MATCH(E586,Datos!$E$8:$E$22,0)),"Proyecto sin valor hora. ","")&amp;IF(ISNA(MATCH(D586,Datos!$A$8:$A$22,0)),"Persona fuera del equipo. ","")))</f>
        <v/>
      </c>
      <c r="I586" s="21" t="n"/>
      <c r="J586" s="22" t="n"/>
      <c r="K586" s="23">
        <f>IF(G586="","",IF(J586&lt;&gt;"",MIN(J586,G586),IF(OR(I586="Observada",I586="Rechazada"),0,G586)))</f>
        <v/>
      </c>
      <c r="L586" s="24" t="n"/>
      <c r="M586" s="25">
        <f>IF(OR(A586="",D586=""),0,IF(COUNTIFS($A$2:A586,A586,$D$2:D586,D586)=1,1,0))</f>
        <v/>
      </c>
    </row>
    <row r="587">
      <c r="A587" s="26" t="n"/>
      <c r="B587" s="27" t="n"/>
      <c r="C587" s="27" t="n"/>
      <c r="D587" s="28" t="n"/>
      <c r="E587" s="28" t="n"/>
      <c r="F587" s="29" t="n"/>
      <c r="G587" s="30" t="n"/>
      <c r="H587" s="20">
        <f>IF(A587="","",TRIM(IF(WEEKDAY(A587,2)&gt;5,"Fin de semana. ","")&amp;IF(SUMIFS($G$2:$G$601,$A$2:$A$601,A587,$D$2:$D$601,D587)&gt;9,"Más de 9 h en el día. ","")&amp;IF(AND(B587&lt;&gt;"",C587&lt;&gt;"",C587&lt;B587),"Cruza la medianoche. ","")&amp;IF(LEN(TRIM(F587))&lt;15,"Sin descripción suficiente. ","")&amp;IF(AND(ISERROR(SEARCH("R-0",F587)),ISERROR(SEARCH("CU-",F587))),"Sin ticket. ","")&amp;IF(ISNA(MATCH(E587,Datos!$E$8:$E$22,0)),"Proyecto sin valor hora. ","")&amp;IF(ISNA(MATCH(D587,Datos!$A$8:$A$22,0)),"Persona fuera del equipo. ","")))</f>
        <v/>
      </c>
      <c r="I587" s="21" t="n"/>
      <c r="J587" s="22" t="n"/>
      <c r="K587" s="23">
        <f>IF(G587="","",IF(J587&lt;&gt;"",MIN(J587,G587),IF(OR(I587="Observada",I587="Rechazada"),0,G587)))</f>
        <v/>
      </c>
      <c r="L587" s="24" t="n"/>
      <c r="M587" s="25">
        <f>IF(OR(A587="",D587=""),0,IF(COUNTIFS($A$2:A587,A587,$D$2:D587,D587)=1,1,0))</f>
        <v/>
      </c>
    </row>
    <row r="588">
      <c r="A588" s="26" t="n"/>
      <c r="B588" s="27" t="n"/>
      <c r="C588" s="27" t="n"/>
      <c r="D588" s="28" t="n"/>
      <c r="E588" s="28" t="n"/>
      <c r="F588" s="29" t="n"/>
      <c r="G588" s="30" t="n"/>
      <c r="H588" s="20">
        <f>IF(A588="","",TRIM(IF(WEEKDAY(A588,2)&gt;5,"Fin de semana. ","")&amp;IF(SUMIFS($G$2:$G$601,$A$2:$A$601,A588,$D$2:$D$601,D588)&gt;9,"Más de 9 h en el día. ","")&amp;IF(AND(B588&lt;&gt;"",C588&lt;&gt;"",C588&lt;B588),"Cruza la medianoche. ","")&amp;IF(LEN(TRIM(F588))&lt;15,"Sin descripción suficiente. ","")&amp;IF(AND(ISERROR(SEARCH("R-0",F588)),ISERROR(SEARCH("CU-",F588))),"Sin ticket. ","")&amp;IF(ISNA(MATCH(E588,Datos!$E$8:$E$22,0)),"Proyecto sin valor hora. ","")&amp;IF(ISNA(MATCH(D588,Datos!$A$8:$A$22,0)),"Persona fuera del equipo. ","")))</f>
        <v/>
      </c>
      <c r="I588" s="21" t="n"/>
      <c r="J588" s="22" t="n"/>
      <c r="K588" s="23">
        <f>IF(G588="","",IF(J588&lt;&gt;"",MIN(J588,G588),IF(OR(I588="Observada",I588="Rechazada"),0,G588)))</f>
        <v/>
      </c>
      <c r="L588" s="24" t="n"/>
      <c r="M588" s="25">
        <f>IF(OR(A588="",D588=""),0,IF(COUNTIFS($A$2:A588,A588,$D$2:D588,D588)=1,1,0))</f>
        <v/>
      </c>
    </row>
    <row r="589">
      <c r="A589" s="26" t="n"/>
      <c r="B589" s="27" t="n"/>
      <c r="C589" s="27" t="n"/>
      <c r="D589" s="28" t="n"/>
      <c r="E589" s="28" t="n"/>
      <c r="F589" s="29" t="n"/>
      <c r="G589" s="30" t="n"/>
      <c r="H589" s="20">
        <f>IF(A589="","",TRIM(IF(WEEKDAY(A589,2)&gt;5,"Fin de semana. ","")&amp;IF(SUMIFS($G$2:$G$601,$A$2:$A$601,A589,$D$2:$D$601,D589)&gt;9,"Más de 9 h en el día. ","")&amp;IF(AND(B589&lt;&gt;"",C589&lt;&gt;"",C589&lt;B589),"Cruza la medianoche. ","")&amp;IF(LEN(TRIM(F589))&lt;15,"Sin descripción suficiente. ","")&amp;IF(AND(ISERROR(SEARCH("R-0",F589)),ISERROR(SEARCH("CU-",F589))),"Sin ticket. ","")&amp;IF(ISNA(MATCH(E589,Datos!$E$8:$E$22,0)),"Proyecto sin valor hora. ","")&amp;IF(ISNA(MATCH(D589,Datos!$A$8:$A$22,0)),"Persona fuera del equipo. ","")))</f>
        <v/>
      </c>
      <c r="I589" s="21" t="n"/>
      <c r="J589" s="22" t="n"/>
      <c r="K589" s="23">
        <f>IF(G589="","",IF(J589&lt;&gt;"",MIN(J589,G589),IF(OR(I589="Observada",I589="Rechazada"),0,G589)))</f>
        <v/>
      </c>
      <c r="L589" s="24" t="n"/>
      <c r="M589" s="25">
        <f>IF(OR(A589="",D589=""),0,IF(COUNTIFS($A$2:A589,A589,$D$2:D589,D589)=1,1,0))</f>
        <v/>
      </c>
    </row>
    <row r="590">
      <c r="A590" s="26" t="n"/>
      <c r="B590" s="27" t="n"/>
      <c r="C590" s="27" t="n"/>
      <c r="D590" s="28" t="n"/>
      <c r="E590" s="28" t="n"/>
      <c r="F590" s="29" t="n"/>
      <c r="G590" s="30" t="n"/>
      <c r="H590" s="20">
        <f>IF(A590="","",TRIM(IF(WEEKDAY(A590,2)&gt;5,"Fin de semana. ","")&amp;IF(SUMIFS($G$2:$G$601,$A$2:$A$601,A590,$D$2:$D$601,D590)&gt;9,"Más de 9 h en el día. ","")&amp;IF(AND(B590&lt;&gt;"",C590&lt;&gt;"",C590&lt;B590),"Cruza la medianoche. ","")&amp;IF(LEN(TRIM(F590))&lt;15,"Sin descripción suficiente. ","")&amp;IF(AND(ISERROR(SEARCH("R-0",F590)),ISERROR(SEARCH("CU-",F590))),"Sin ticket. ","")&amp;IF(ISNA(MATCH(E590,Datos!$E$8:$E$22,0)),"Proyecto sin valor hora. ","")&amp;IF(ISNA(MATCH(D590,Datos!$A$8:$A$22,0)),"Persona fuera del equipo. ","")))</f>
        <v/>
      </c>
      <c r="I590" s="21" t="n"/>
      <c r="J590" s="22" t="n"/>
      <c r="K590" s="23">
        <f>IF(G590="","",IF(J590&lt;&gt;"",MIN(J590,G590),IF(OR(I590="Observada",I590="Rechazada"),0,G590)))</f>
        <v/>
      </c>
      <c r="L590" s="24" t="n"/>
      <c r="M590" s="25">
        <f>IF(OR(A590="",D590=""),0,IF(COUNTIFS($A$2:A590,A590,$D$2:D590,D590)=1,1,0))</f>
        <v/>
      </c>
    </row>
    <row r="591">
      <c r="A591" s="26" t="n"/>
      <c r="B591" s="27" t="n"/>
      <c r="C591" s="27" t="n"/>
      <c r="D591" s="28" t="n"/>
      <c r="E591" s="28" t="n"/>
      <c r="F591" s="29" t="n"/>
      <c r="G591" s="30" t="n"/>
      <c r="H591" s="20">
        <f>IF(A591="","",TRIM(IF(WEEKDAY(A591,2)&gt;5,"Fin de semana. ","")&amp;IF(SUMIFS($G$2:$G$601,$A$2:$A$601,A591,$D$2:$D$601,D591)&gt;9,"Más de 9 h en el día. ","")&amp;IF(AND(B591&lt;&gt;"",C591&lt;&gt;"",C591&lt;B591),"Cruza la medianoche. ","")&amp;IF(LEN(TRIM(F591))&lt;15,"Sin descripción suficiente. ","")&amp;IF(AND(ISERROR(SEARCH("R-0",F591)),ISERROR(SEARCH("CU-",F591))),"Sin ticket. ","")&amp;IF(ISNA(MATCH(E591,Datos!$E$8:$E$22,0)),"Proyecto sin valor hora. ","")&amp;IF(ISNA(MATCH(D591,Datos!$A$8:$A$22,0)),"Persona fuera del equipo. ","")))</f>
        <v/>
      </c>
      <c r="I591" s="21" t="n"/>
      <c r="J591" s="22" t="n"/>
      <c r="K591" s="23">
        <f>IF(G591="","",IF(J591&lt;&gt;"",MIN(J591,G591),IF(OR(I591="Observada",I591="Rechazada"),0,G591)))</f>
        <v/>
      </c>
      <c r="L591" s="24" t="n"/>
      <c r="M591" s="25">
        <f>IF(OR(A591="",D591=""),0,IF(COUNTIFS($A$2:A591,A591,$D$2:D591,D591)=1,1,0))</f>
        <v/>
      </c>
    </row>
    <row r="592">
      <c r="A592" s="26" t="n"/>
      <c r="B592" s="27" t="n"/>
      <c r="C592" s="27" t="n"/>
      <c r="D592" s="28" t="n"/>
      <c r="E592" s="28" t="n"/>
      <c r="F592" s="29" t="n"/>
      <c r="G592" s="30" t="n"/>
      <c r="H592" s="20">
        <f>IF(A592="","",TRIM(IF(WEEKDAY(A592,2)&gt;5,"Fin de semana. ","")&amp;IF(SUMIFS($G$2:$G$601,$A$2:$A$601,A592,$D$2:$D$601,D592)&gt;9,"Más de 9 h en el día. ","")&amp;IF(AND(B592&lt;&gt;"",C592&lt;&gt;"",C592&lt;B592),"Cruza la medianoche. ","")&amp;IF(LEN(TRIM(F592))&lt;15,"Sin descripción suficiente. ","")&amp;IF(AND(ISERROR(SEARCH("R-0",F592)),ISERROR(SEARCH("CU-",F592))),"Sin ticket. ","")&amp;IF(ISNA(MATCH(E592,Datos!$E$8:$E$22,0)),"Proyecto sin valor hora. ","")&amp;IF(ISNA(MATCH(D592,Datos!$A$8:$A$22,0)),"Persona fuera del equipo. ","")))</f>
        <v/>
      </c>
      <c r="I592" s="21" t="n"/>
      <c r="J592" s="22" t="n"/>
      <c r="K592" s="23">
        <f>IF(G592="","",IF(J592&lt;&gt;"",MIN(J592,G592),IF(OR(I592="Observada",I592="Rechazada"),0,G592)))</f>
        <v/>
      </c>
      <c r="L592" s="24" t="n"/>
      <c r="M592" s="25">
        <f>IF(OR(A592="",D592=""),0,IF(COUNTIFS($A$2:A592,A592,$D$2:D592,D592)=1,1,0))</f>
        <v/>
      </c>
    </row>
    <row r="593">
      <c r="A593" s="26" t="n"/>
      <c r="B593" s="27" t="n"/>
      <c r="C593" s="27" t="n"/>
      <c r="D593" s="28" t="n"/>
      <c r="E593" s="28" t="n"/>
      <c r="F593" s="29" t="n"/>
      <c r="G593" s="30" t="n"/>
      <c r="H593" s="20">
        <f>IF(A593="","",TRIM(IF(WEEKDAY(A593,2)&gt;5,"Fin de semana. ","")&amp;IF(SUMIFS($G$2:$G$601,$A$2:$A$601,A593,$D$2:$D$601,D593)&gt;9,"Más de 9 h en el día. ","")&amp;IF(AND(B593&lt;&gt;"",C593&lt;&gt;"",C593&lt;B593),"Cruza la medianoche. ","")&amp;IF(LEN(TRIM(F593))&lt;15,"Sin descripción suficiente. ","")&amp;IF(AND(ISERROR(SEARCH("R-0",F593)),ISERROR(SEARCH("CU-",F593))),"Sin ticket. ","")&amp;IF(ISNA(MATCH(E593,Datos!$E$8:$E$22,0)),"Proyecto sin valor hora. ","")&amp;IF(ISNA(MATCH(D593,Datos!$A$8:$A$22,0)),"Persona fuera del equipo. ","")))</f>
        <v/>
      </c>
      <c r="I593" s="21" t="n"/>
      <c r="J593" s="22" t="n"/>
      <c r="K593" s="23">
        <f>IF(G593="","",IF(J593&lt;&gt;"",MIN(J593,G593),IF(OR(I593="Observada",I593="Rechazada"),0,G593)))</f>
        <v/>
      </c>
      <c r="L593" s="24" t="n"/>
      <c r="M593" s="25">
        <f>IF(OR(A593="",D593=""),0,IF(COUNTIFS($A$2:A593,A593,$D$2:D593,D593)=1,1,0))</f>
        <v/>
      </c>
    </row>
    <row r="594">
      <c r="A594" s="26" t="n"/>
      <c r="B594" s="27" t="n"/>
      <c r="C594" s="27" t="n"/>
      <c r="D594" s="28" t="n"/>
      <c r="E594" s="28" t="n"/>
      <c r="F594" s="29" t="n"/>
      <c r="G594" s="30" t="n"/>
      <c r="H594" s="20">
        <f>IF(A594="","",TRIM(IF(WEEKDAY(A594,2)&gt;5,"Fin de semana. ","")&amp;IF(SUMIFS($G$2:$G$601,$A$2:$A$601,A594,$D$2:$D$601,D594)&gt;9,"Más de 9 h en el día. ","")&amp;IF(AND(B594&lt;&gt;"",C594&lt;&gt;"",C594&lt;B594),"Cruza la medianoche. ","")&amp;IF(LEN(TRIM(F594))&lt;15,"Sin descripción suficiente. ","")&amp;IF(AND(ISERROR(SEARCH("R-0",F594)),ISERROR(SEARCH("CU-",F594))),"Sin ticket. ","")&amp;IF(ISNA(MATCH(E594,Datos!$E$8:$E$22,0)),"Proyecto sin valor hora. ","")&amp;IF(ISNA(MATCH(D594,Datos!$A$8:$A$22,0)),"Persona fuera del equipo. ","")))</f>
        <v/>
      </c>
      <c r="I594" s="21" t="n"/>
      <c r="J594" s="22" t="n"/>
      <c r="K594" s="23">
        <f>IF(G594="","",IF(J594&lt;&gt;"",MIN(J594,G594),IF(OR(I594="Observada",I594="Rechazada"),0,G594)))</f>
        <v/>
      </c>
      <c r="L594" s="24" t="n"/>
      <c r="M594" s="25">
        <f>IF(OR(A594="",D594=""),0,IF(COUNTIFS($A$2:A594,A594,$D$2:D594,D594)=1,1,0))</f>
        <v/>
      </c>
    </row>
    <row r="595">
      <c r="A595" s="26" t="n"/>
      <c r="B595" s="27" t="n"/>
      <c r="C595" s="27" t="n"/>
      <c r="D595" s="28" t="n"/>
      <c r="E595" s="28" t="n"/>
      <c r="F595" s="29" t="n"/>
      <c r="G595" s="30" t="n"/>
      <c r="H595" s="20">
        <f>IF(A595="","",TRIM(IF(WEEKDAY(A595,2)&gt;5,"Fin de semana. ","")&amp;IF(SUMIFS($G$2:$G$601,$A$2:$A$601,A595,$D$2:$D$601,D595)&gt;9,"Más de 9 h en el día. ","")&amp;IF(AND(B595&lt;&gt;"",C595&lt;&gt;"",C595&lt;B595),"Cruza la medianoche. ","")&amp;IF(LEN(TRIM(F595))&lt;15,"Sin descripción suficiente. ","")&amp;IF(AND(ISERROR(SEARCH("R-0",F595)),ISERROR(SEARCH("CU-",F595))),"Sin ticket. ","")&amp;IF(ISNA(MATCH(E595,Datos!$E$8:$E$22,0)),"Proyecto sin valor hora. ","")&amp;IF(ISNA(MATCH(D595,Datos!$A$8:$A$22,0)),"Persona fuera del equipo. ","")))</f>
        <v/>
      </c>
      <c r="I595" s="21" t="n"/>
      <c r="J595" s="22" t="n"/>
      <c r="K595" s="23">
        <f>IF(G595="","",IF(J595&lt;&gt;"",MIN(J595,G595),IF(OR(I595="Observada",I595="Rechazada"),0,G595)))</f>
        <v/>
      </c>
      <c r="L595" s="24" t="n"/>
      <c r="M595" s="25">
        <f>IF(OR(A595="",D595=""),0,IF(COUNTIFS($A$2:A595,A595,$D$2:D595,D595)=1,1,0))</f>
        <v/>
      </c>
    </row>
    <row r="596">
      <c r="A596" s="26" t="n"/>
      <c r="B596" s="27" t="n"/>
      <c r="C596" s="27" t="n"/>
      <c r="D596" s="28" t="n"/>
      <c r="E596" s="28" t="n"/>
      <c r="F596" s="29" t="n"/>
      <c r="G596" s="30" t="n"/>
      <c r="H596" s="20">
        <f>IF(A596="","",TRIM(IF(WEEKDAY(A596,2)&gt;5,"Fin de semana. ","")&amp;IF(SUMIFS($G$2:$G$601,$A$2:$A$601,A596,$D$2:$D$601,D596)&gt;9,"Más de 9 h en el día. ","")&amp;IF(AND(B596&lt;&gt;"",C596&lt;&gt;"",C596&lt;B596),"Cruza la medianoche. ","")&amp;IF(LEN(TRIM(F596))&lt;15,"Sin descripción suficiente. ","")&amp;IF(AND(ISERROR(SEARCH("R-0",F596)),ISERROR(SEARCH("CU-",F596))),"Sin ticket. ","")&amp;IF(ISNA(MATCH(E596,Datos!$E$8:$E$22,0)),"Proyecto sin valor hora. ","")&amp;IF(ISNA(MATCH(D596,Datos!$A$8:$A$22,0)),"Persona fuera del equipo. ","")))</f>
        <v/>
      </c>
      <c r="I596" s="21" t="n"/>
      <c r="J596" s="22" t="n"/>
      <c r="K596" s="23">
        <f>IF(G596="","",IF(J596&lt;&gt;"",MIN(J596,G596),IF(OR(I596="Observada",I596="Rechazada"),0,G596)))</f>
        <v/>
      </c>
      <c r="L596" s="24" t="n"/>
      <c r="M596" s="25">
        <f>IF(OR(A596="",D596=""),0,IF(COUNTIFS($A$2:A596,A596,$D$2:D596,D596)=1,1,0))</f>
        <v/>
      </c>
    </row>
    <row r="597">
      <c r="A597" s="26" t="n"/>
      <c r="B597" s="27" t="n"/>
      <c r="C597" s="27" t="n"/>
      <c r="D597" s="28" t="n"/>
      <c r="E597" s="28" t="n"/>
      <c r="F597" s="29" t="n"/>
      <c r="G597" s="30" t="n"/>
      <c r="H597" s="20">
        <f>IF(A597="","",TRIM(IF(WEEKDAY(A597,2)&gt;5,"Fin de semana. ","")&amp;IF(SUMIFS($G$2:$G$601,$A$2:$A$601,A597,$D$2:$D$601,D597)&gt;9,"Más de 9 h en el día. ","")&amp;IF(AND(B597&lt;&gt;"",C597&lt;&gt;"",C597&lt;B597),"Cruza la medianoche. ","")&amp;IF(LEN(TRIM(F597))&lt;15,"Sin descripción suficiente. ","")&amp;IF(AND(ISERROR(SEARCH("R-0",F597)),ISERROR(SEARCH("CU-",F597))),"Sin ticket. ","")&amp;IF(ISNA(MATCH(E597,Datos!$E$8:$E$22,0)),"Proyecto sin valor hora. ","")&amp;IF(ISNA(MATCH(D597,Datos!$A$8:$A$22,0)),"Persona fuera del equipo. ","")))</f>
        <v/>
      </c>
      <c r="I597" s="21" t="n"/>
      <c r="J597" s="22" t="n"/>
      <c r="K597" s="23">
        <f>IF(G597="","",IF(J597&lt;&gt;"",MIN(J597,G597),IF(OR(I597="Observada",I597="Rechazada"),0,G597)))</f>
        <v/>
      </c>
      <c r="L597" s="24" t="n"/>
      <c r="M597" s="25">
        <f>IF(OR(A597="",D597=""),0,IF(COUNTIFS($A$2:A597,A597,$D$2:D597,D597)=1,1,0))</f>
        <v/>
      </c>
    </row>
    <row r="598">
      <c r="A598" s="26" t="n"/>
      <c r="B598" s="27" t="n"/>
      <c r="C598" s="27" t="n"/>
      <c r="D598" s="28" t="n"/>
      <c r="E598" s="28" t="n"/>
      <c r="F598" s="29" t="n"/>
      <c r="G598" s="30" t="n"/>
      <c r="H598" s="20">
        <f>IF(A598="","",TRIM(IF(WEEKDAY(A598,2)&gt;5,"Fin de semana. ","")&amp;IF(SUMIFS($G$2:$G$601,$A$2:$A$601,A598,$D$2:$D$601,D598)&gt;9,"Más de 9 h en el día. ","")&amp;IF(AND(B598&lt;&gt;"",C598&lt;&gt;"",C598&lt;B598),"Cruza la medianoche. ","")&amp;IF(LEN(TRIM(F598))&lt;15,"Sin descripción suficiente. ","")&amp;IF(AND(ISERROR(SEARCH("R-0",F598)),ISERROR(SEARCH("CU-",F598))),"Sin ticket. ","")&amp;IF(ISNA(MATCH(E598,Datos!$E$8:$E$22,0)),"Proyecto sin valor hora. ","")&amp;IF(ISNA(MATCH(D598,Datos!$A$8:$A$22,0)),"Persona fuera del equipo. ","")))</f>
        <v/>
      </c>
      <c r="I598" s="21" t="n"/>
      <c r="J598" s="22" t="n"/>
      <c r="K598" s="23">
        <f>IF(G598="","",IF(J598&lt;&gt;"",MIN(J598,G598),IF(OR(I598="Observada",I598="Rechazada"),0,G598)))</f>
        <v/>
      </c>
      <c r="L598" s="24" t="n"/>
      <c r="M598" s="25">
        <f>IF(OR(A598="",D598=""),0,IF(COUNTIFS($A$2:A598,A598,$D$2:D598,D598)=1,1,0))</f>
        <v/>
      </c>
    </row>
    <row r="599">
      <c r="A599" s="26" t="n"/>
      <c r="B599" s="27" t="n"/>
      <c r="C599" s="27" t="n"/>
      <c r="D599" s="28" t="n"/>
      <c r="E599" s="28" t="n"/>
      <c r="F599" s="29" t="n"/>
      <c r="G599" s="30" t="n"/>
      <c r="H599" s="20">
        <f>IF(A599="","",TRIM(IF(WEEKDAY(A599,2)&gt;5,"Fin de semana. ","")&amp;IF(SUMIFS($G$2:$G$601,$A$2:$A$601,A599,$D$2:$D$601,D599)&gt;9,"Más de 9 h en el día. ","")&amp;IF(AND(B599&lt;&gt;"",C599&lt;&gt;"",C599&lt;B599),"Cruza la medianoche. ","")&amp;IF(LEN(TRIM(F599))&lt;15,"Sin descripción suficiente. ","")&amp;IF(AND(ISERROR(SEARCH("R-0",F599)),ISERROR(SEARCH("CU-",F599))),"Sin ticket. ","")&amp;IF(ISNA(MATCH(E599,Datos!$E$8:$E$22,0)),"Proyecto sin valor hora. ","")&amp;IF(ISNA(MATCH(D599,Datos!$A$8:$A$22,0)),"Persona fuera del equipo. ","")))</f>
        <v/>
      </c>
      <c r="I599" s="21" t="n"/>
      <c r="J599" s="22" t="n"/>
      <c r="K599" s="23">
        <f>IF(G599="","",IF(J599&lt;&gt;"",MIN(J599,G599),IF(OR(I599="Observada",I599="Rechazada"),0,G599)))</f>
        <v/>
      </c>
      <c r="L599" s="24" t="n"/>
      <c r="M599" s="25">
        <f>IF(OR(A599="",D599=""),0,IF(COUNTIFS($A$2:A599,A599,$D$2:D599,D599)=1,1,0))</f>
        <v/>
      </c>
    </row>
    <row r="600">
      <c r="A600" s="26" t="n"/>
      <c r="B600" s="27" t="n"/>
      <c r="C600" s="27" t="n"/>
      <c r="D600" s="28" t="n"/>
      <c r="E600" s="28" t="n"/>
      <c r="F600" s="29" t="n"/>
      <c r="G600" s="30" t="n"/>
      <c r="H600" s="20">
        <f>IF(A600="","",TRIM(IF(WEEKDAY(A600,2)&gt;5,"Fin de semana. ","")&amp;IF(SUMIFS($G$2:$G$601,$A$2:$A$601,A600,$D$2:$D$601,D600)&gt;9,"Más de 9 h en el día. ","")&amp;IF(AND(B600&lt;&gt;"",C600&lt;&gt;"",C600&lt;B600),"Cruza la medianoche. ","")&amp;IF(LEN(TRIM(F600))&lt;15,"Sin descripción suficiente. ","")&amp;IF(AND(ISERROR(SEARCH("R-0",F600)),ISERROR(SEARCH("CU-",F600))),"Sin ticket. ","")&amp;IF(ISNA(MATCH(E600,Datos!$E$8:$E$22,0)),"Proyecto sin valor hora. ","")&amp;IF(ISNA(MATCH(D600,Datos!$A$8:$A$22,0)),"Persona fuera del equipo. ","")))</f>
        <v/>
      </c>
      <c r="I600" s="21" t="n"/>
      <c r="J600" s="22" t="n"/>
      <c r="K600" s="23">
        <f>IF(G600="","",IF(J600&lt;&gt;"",MIN(J600,G600),IF(OR(I600="Observada",I600="Rechazada"),0,G600)))</f>
        <v/>
      </c>
      <c r="L600" s="24" t="n"/>
      <c r="M600" s="25">
        <f>IF(OR(A600="",D600=""),0,IF(COUNTIFS($A$2:A600,A600,$D$2:D600,D600)=1,1,0))</f>
        <v/>
      </c>
    </row>
    <row r="601">
      <c r="A601" s="26" t="n"/>
      <c r="B601" s="27" t="n"/>
      <c r="C601" s="27" t="n"/>
      <c r="D601" s="28" t="n"/>
      <c r="E601" s="28" t="n"/>
      <c r="F601" s="29" t="n"/>
      <c r="G601" s="30" t="n"/>
      <c r="H601" s="20">
        <f>IF(A601="","",TRIM(IF(WEEKDAY(A601,2)&gt;5,"Fin de semana. ","")&amp;IF(SUMIFS($G$2:$G$601,$A$2:$A$601,A601,$D$2:$D$601,D601)&gt;9,"Más de 9 h en el día. ","")&amp;IF(AND(B601&lt;&gt;"",C601&lt;&gt;"",C601&lt;B601),"Cruza la medianoche. ","")&amp;IF(LEN(TRIM(F601))&lt;15,"Sin descripción suficiente. ","")&amp;IF(AND(ISERROR(SEARCH("R-0",F601)),ISERROR(SEARCH("CU-",F601))),"Sin ticket. ","")&amp;IF(ISNA(MATCH(E601,Datos!$E$8:$E$22,0)),"Proyecto sin valor hora. ","")&amp;IF(ISNA(MATCH(D601,Datos!$A$8:$A$22,0)),"Persona fuera del equipo. ","")))</f>
        <v/>
      </c>
      <c r="I601" s="21" t="n"/>
      <c r="J601" s="22" t="n"/>
      <c r="K601" s="23">
        <f>IF(G601="","",IF(J601&lt;&gt;"",MIN(J601,G601),IF(OR(I601="Observada",I601="Rechazada"),0,G601)))</f>
        <v/>
      </c>
      <c r="L601" s="24" t="n"/>
      <c r="M601" s="25">
        <f>IF(OR(A601="",D601=""),0,IF(COUNTIFS($A$2:A601,A601,$D$2:D601,D601)=1,1,0))</f>
        <v/>
      </c>
    </row>
  </sheetData>
  <autoFilter ref="A1:L601"/>
  <conditionalFormatting sqref="H2:H601">
    <cfRule type="expression" priority="1" dxfId="0">
      <formula>LEN($H2)&gt;0</formula>
    </cfRule>
  </conditionalFormatting>
  <dataValidations count="2">
    <dataValidation sqref="I2:I601" showDropDown="0" showInputMessage="0" showErrorMessage="0" allowBlank="1" type="list">
      <formula1>"Aprobada,Observada,Rechazada"</formula1>
    </dataValidation>
    <dataValidation sqref="G2:G601 J2:J601" showDropDown="0" showInputMessage="0" showErrorMessage="0" allowBlank="1" type="decimal">
      <formula1>0</formula1>
      <formula2>24</formula2>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x14:formula1>
            <xm:f>Datos!$A$8:$A$22</xm:f>
          </x14:formula1>
          <xm:sqref>D2:D601</xm:sqref>
        </x14:dataValidation>
        <x14:dataValidation type="list" allowBlank="1">
          <x14:formula1>
            <xm:f>Datos!$E$8:$E$22</xm:f>
          </x14:formula1>
          <xm:sqref>E2:E601</xm:sqref>
        </x14:dataValidation>
      </x14:dataValidations>
    </ext>
  </extLs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2026-09-29T11:45:44Z</dcterms:created>
  <dcterms:modified xmlns:dcterms="http://purl.org/dc/terms/" xmlns:xsi="http://www.w3.org/2001/XMLSchema-instance" xsi:type="dcterms:W3CDTF">2026-09-30T19:32:07Z</dcterms:modified>
  <cp:lastModifiedBy>Augusto Villa</cp:lastModifiedBy>
</cp:coreProperties>
</file>