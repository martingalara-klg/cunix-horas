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7570" yWindow="0" windowWidth="29040" windowHeight="15480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Detalle" sheetId="4" state="visible" r:id="rId4"/>
  </sheets>
  <definedNames>
    <definedName name="_xlnm._FilterDatabase" localSheetId="3" hidden="1">'Detalle'!$A$1:$L$601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3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b val="1"/>
      <color rgb="FF000000"/>
      <sz val="11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10"/>
    </font>
    <font>
      <name val="Arial"/>
      <b val="1"/>
      <color rgb="FFFFFFFF"/>
      <sz val="10"/>
    </font>
    <font>
      <name val="Arial"/>
      <i val="1"/>
      <color rgb="FF7F7F7F"/>
      <sz val="9"/>
    </font>
    <font>
      <name val="Arial"/>
      <color rgb="FFA6A6A6"/>
      <sz val="8"/>
    </font>
    <font>
      <name val="Arial"/>
      <b val="1"/>
      <color rgb="FFFFFFFF"/>
      <sz val="8"/>
    </font>
    <font>
      <name val="Arial"/>
      <b val="1"/>
      <color rgb="FF000000"/>
      <sz val="13"/>
    </font>
    <font>
      <name val="Arial"/>
      <sz val="10"/>
    </font>
    <font>
      <name val="Arial"/>
      <b val="1"/>
      <color rgb="FFC00000"/>
      <sz val="11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2" fontId="3" fillId="5" borderId="1" pivotButton="0" quotePrefix="0" xfId="0"/>
    <xf numFmtId="2" fontId="3" fillId="6" borderId="1" pivotButton="0" quotePrefix="0" xfId="0"/>
    <xf numFmtId="0" fontId="7" fillId="0" borderId="0" pivotButton="0" quotePrefix="0" xfId="0"/>
    <xf numFmtId="0" fontId="6" fillId="3" borderId="1" applyAlignment="1" pivotButton="0" quotePrefix="0" xfId="0">
      <alignment vertical="center" wrapText="1"/>
    </xf>
    <xf numFmtId="4" fontId="3" fillId="5" borderId="1" pivotButton="0" quotePrefix="0" xfId="0"/>
    <xf numFmtId="4" fontId="5" fillId="5" borderId="1" pivotButton="0" quotePrefix="0" xfId="0"/>
    <xf numFmtId="1" fontId="3" fillId="5" borderId="1" pivotButton="0" quotePrefix="0" xfId="0"/>
    <xf numFmtId="2" fontId="5" fillId="5" borderId="1" pivotButton="0" quotePrefix="0" xfId="0"/>
    <xf numFmtId="0" fontId="4" fillId="0" borderId="0" pivotButton="0" quotePrefix="0" xfId="0"/>
    <xf numFmtId="0" fontId="3" fillId="2" borderId="1" pivotButton="0" quotePrefix="0" xfId="0"/>
    <xf numFmtId="4" fontId="3" fillId="2" borderId="1" pivotButton="0" quotePrefix="0" xfId="0"/>
    <xf numFmtId="0" fontId="6" fillId="4" borderId="1" applyAlignment="1" pivotButton="0" quotePrefix="0" xfId="0">
      <alignment vertical="center" wrapText="1"/>
    </xf>
    <xf numFmtId="0" fontId="9" fillId="7" borderId="0" pivotButton="0" quotePrefix="0" xfId="0"/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2" fontId="3" fillId="6" borderId="1" applyAlignment="1" pivotButton="0" quotePrefix="0" xfId="0">
      <alignment vertical="top"/>
    </xf>
    <xf numFmtId="2" fontId="3" fillId="5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8" fillId="5" borderId="0" pivotButton="0" quotePrefix="0" xfId="0"/>
    <xf numFmtId="14" fontId="3" fillId="2" borderId="1" applyAlignment="1" pivotButton="0" quotePrefix="0" xfId="0">
      <alignment vertical="top"/>
    </xf>
    <xf numFmtId="164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2" fontId="3" fillId="2" borderId="1" applyAlignment="1" pivotButton="0" quotePrefix="0" xfId="0">
      <alignment vertical="top"/>
    </xf>
    <xf numFmtId="0" fontId="12" fillId="0" borderId="0" pivotButton="0" quotePrefix="0" xfId="0"/>
    <xf numFmtId="14" fontId="11" fillId="2" borderId="1" applyAlignment="1" pivotButton="0" quotePrefix="0" xfId="0">
      <alignment vertical="top"/>
    </xf>
    <xf numFmtId="164" fontId="11" fillId="2" borderId="1" applyAlignment="1" pivotButton="0" quotePrefix="0" xfId="0">
      <alignment vertical="top"/>
    </xf>
    <xf numFmtId="0" fontId="11" fillId="2" borderId="1" applyAlignment="1" pivotButton="0" quotePrefix="0" xfId="0">
      <alignment vertical="top"/>
    </xf>
    <xf numFmtId="0" fontId="11" fillId="2" borderId="1" applyAlignment="1" pivotButton="0" quotePrefix="0" xfId="0">
      <alignment vertical="top" wrapText="1"/>
    </xf>
    <xf numFmtId="2" fontId="11" fillId="2" borderId="1" applyAlignment="1" pivotButton="0" quotePrefix="0" xfId="0">
      <alignment vertical="top"/>
    </xf>
  </cellXfs>
  <cellStyles count="1">
    <cellStyle name="Normal" xfId="0" builtinId="0"/>
  </cellStyles>
  <dxfs count="1">
    <dxf>
      <font>
        <name val="Arial"/>
        <b val="1"/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4"/>
  <sheetViews>
    <sheetView workbookViewId="0">
      <selection activeCell="A1" sqref="A1"/>
    </sheetView>
  </sheetViews>
  <sheetFormatPr baseColWidth="10" defaultColWidth="9.140625" defaultRowHeight="15"/>
  <cols>
    <col width="3" customWidth="1" min="1" max="1"/>
    <col width="115" customWidth="1" min="2" max="2"/>
  </cols>
  <sheetData>
    <row r="1" ht="18" customHeight="1">
      <c r="B1" s="1" t="inlineStr">
        <is>
          <t>Anexo II-A — Detalle mensual de horas de KLG</t>
        </is>
      </c>
    </row>
    <row r="2">
      <c r="B2" s="31" t="inlineStr">
        <is>
          <t>EJEMPLO — Agosto 2026 armado por C.UNIX con los 70 registros de Kimai (306 h), como debió entregarse. Las descripciones son las que cada persona cargó en Kimai: donde faltan o no citan ticket, la columna «Alertas» lo marca. Desde el próximo mes, KLG completa este mismo archivo.</t>
        </is>
      </c>
    </row>
    <row r="3">
      <c r="B3" s="2" t="inlineStr">
        <is>
          <t>KLG completa (celdas amarillas)</t>
        </is>
      </c>
    </row>
    <row r="4">
      <c r="B4" s="3" t="inlineStr">
        <is>
          <t>1. Hoja «Datos»: período, equipo (una fila por persona, con su perfil) y valor hora por proyecto.</t>
        </is>
      </c>
    </row>
    <row r="5" ht="25.5" customHeight="1">
      <c r="B5" s="3" t="inlineStr">
        <is>
          <t>2. En Kimai: Horas → filtrar el mes completo y las personas de KLG → Exportar a Excel. Pegar en la hoja «Detalle», una fila por registro: Fecha, Inicio, Fin, Persona, Proyecto, Descripción y Horas.</t>
        </is>
      </c>
    </row>
    <row r="6" ht="25.5" customHeight="1">
      <c r="B6" s="3" t="inlineStr">
        <is>
          <t>3. Cada descripción empieza con el ticket de iTop o la tarea de ClickUp y dice qué se hizo. Ejemplo: «R-012532 – Corrección del error al pujar en Subastas». Se carga así en Kimai y sale sola en la exportación.</t>
        </is>
      </c>
    </row>
    <row r="7">
      <c r="B7" s="3" t="inlineStr">
        <is>
          <t>4. Revisar la columna «Alertas» y explicar en el informe (sección 4) las que queden.</t>
        </is>
      </c>
    </row>
    <row r="8">
      <c r="B8" s="3" t="inlineStr">
        <is>
          <t>5. Copiar al informe los totales de la hoja «Resumen». Informe, anexo y factura deben tener las mismas horas que Kimai.</t>
        </is>
      </c>
    </row>
    <row r="9">
      <c r="B9" s="3" t="n"/>
    </row>
    <row r="10">
      <c r="B10" s="2" t="inlineStr">
        <is>
          <t>C.UNIX revisa (celdas celestes)</t>
        </is>
      </c>
    </row>
    <row r="11">
      <c r="B11" s="3" t="inlineStr">
        <is>
          <t>6. Concilia el total contra Kimai (hoja «Resumen»).</t>
        </is>
      </c>
    </row>
    <row r="12" ht="25.5" customHeight="1">
      <c r="B12" s="3" t="inlineStr">
        <is>
          <t>7. En «Detalle» marca cada registro: Aprobada, Observada o Rechazada. Para aprobar solo una parte, escribe las horas en «Horas aprobadas». Un registro sin marcar se paga completo; uno observado o rechazado, no.</t>
        </is>
      </c>
    </row>
    <row r="13">
      <c r="B13" s="3" t="n"/>
    </row>
    <row r="14">
      <c r="B14" s="3" t="inlineStr">
        <is>
          <t>Gris = se calcula solo, no editar. Las filas 2 y 3 de «Detalle» son ejemplos: borrarlas antes de enviar.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tabSelected="1" workbookViewId="0">
      <selection activeCell="A1" sqref="A1"/>
    </sheetView>
  </sheetViews>
  <sheetFormatPr baseColWidth="10" defaultColWidth="9.140625" defaultRowHeight="15"/>
  <cols>
    <col width="30" customWidth="1" min="1" max="2"/>
    <col width="11" customWidth="1" min="3" max="4"/>
    <col width="13" customWidth="1" min="5" max="6"/>
    <col width="12" customWidth="1" min="7" max="7"/>
    <col width="13" customWidth="1" min="8" max="8"/>
  </cols>
  <sheetData>
    <row r="1" ht="16.5" customHeight="1">
      <c r="A1" s="4">
        <f>CONCATENATE("Resumen — ",Datos!B2)</f>
        <v/>
      </c>
    </row>
    <row r="3">
      <c r="A3" s="5" t="inlineStr">
        <is>
          <t>Control</t>
        </is>
      </c>
    </row>
    <row r="4">
      <c r="A4" s="6" t="inlineStr">
        <is>
          <t>Horas del detalle (informe KLG)</t>
        </is>
      </c>
      <c r="B4" s="7">
        <f>SUM(Detalle!G2:G601)</f>
        <v/>
      </c>
    </row>
    <row r="5">
      <c r="A5" s="6" t="inlineStr">
        <is>
          <t>Horas en Kimai según C.UNIX</t>
        </is>
      </c>
      <c r="B5" s="8" t="n">
        <v>306</v>
      </c>
      <c r="C5" s="9" t="inlineStr">
        <is>
          <t>Registros de Kimai al 29/09/2026. Coinciden día por día con las exportaciones enviadas por KLG.</t>
        </is>
      </c>
    </row>
    <row r="6">
      <c r="A6" s="6" t="inlineStr">
        <is>
          <t>Diferencia</t>
        </is>
      </c>
      <c r="B6" s="7">
        <f>IF(B5="","",B4-B5)</f>
        <v/>
      </c>
      <c r="C6" s="9" t="inlineStr">
        <is>
          <t>← debe ser 0</t>
        </is>
      </c>
    </row>
    <row r="7">
      <c r="A7" s="6" t="inlineStr">
        <is>
          <t>Horas con alertas</t>
        </is>
      </c>
      <c r="B7" s="7">
        <f>SUMPRODUCT((Detalle!H2:H601&lt;&gt;"")*Detalle!G2:G601)</f>
        <v/>
      </c>
    </row>
    <row r="8">
      <c r="A8" s="6" t="inlineStr">
        <is>
          <t>Horas sin ticket</t>
        </is>
      </c>
      <c r="B8" s="7">
        <f>SUMPRODUCT(ISNUMBER(SEARCH("Sin ticket",Detalle!H2:H601))*Detalle!G2:G601)</f>
        <v/>
      </c>
    </row>
    <row r="10">
      <c r="A10" s="5" t="inlineStr">
        <is>
          <t>1. Horas e importe por proyecto</t>
        </is>
      </c>
    </row>
    <row r="11" ht="25.5" customHeight="1">
      <c r="A11" s="10" t="inlineStr">
        <is>
          <t>Proyecto</t>
        </is>
      </c>
      <c r="B11" s="10" t="inlineStr">
        <is>
          <t>Cliente</t>
        </is>
      </c>
      <c r="C11" s="10" t="inlineStr">
        <is>
          <t>Horas</t>
        </is>
      </c>
      <c r="D11" s="10" t="inlineStr">
        <is>
          <t>Valor hora</t>
        </is>
      </c>
      <c r="E11" s="10" t="inlineStr">
        <is>
          <t>Importe</t>
        </is>
      </c>
      <c r="F11" s="10" t="inlineStr">
        <is>
          <t>Horas a pagar</t>
        </is>
      </c>
      <c r="G11" s="10" t="inlineStr">
        <is>
          <t>Importe a pagar</t>
        </is>
      </c>
    </row>
    <row r="12">
      <c r="A12" s="7">
        <f>IF(Datos!E8="","",Datos!E8)</f>
        <v/>
      </c>
      <c r="B12" s="7">
        <f>IF(A12="","",Datos!F8)</f>
        <v/>
      </c>
      <c r="C12" s="7">
        <f>IF(A12="","",SUMIFS(Detalle!$G$2:$G$601,Detalle!$E$2:$E$601,A12))</f>
        <v/>
      </c>
      <c r="D12" s="11">
        <f>IF(A12="","",Datos!G8)</f>
        <v/>
      </c>
      <c r="E12" s="11">
        <f>IF(A12="","",C12*D12)</f>
        <v/>
      </c>
      <c r="F12" s="7">
        <f>IF(A12="","",SUMIFS(Detalle!$K$2:$K$601,Detalle!$E$2:$E$601,A12))</f>
        <v/>
      </c>
      <c r="G12" s="11">
        <f>IF(A12="","",F12*D12)</f>
        <v/>
      </c>
    </row>
    <row r="13">
      <c r="A13" s="7">
        <f>IF(Datos!E9="","",Datos!E9)</f>
        <v/>
      </c>
      <c r="B13" s="7">
        <f>IF(A13="","",Datos!F9)</f>
        <v/>
      </c>
      <c r="C13" s="7">
        <f>IF(A13="","",SUMIFS(Detalle!$G$2:$G$601,Detalle!$E$2:$E$601,A13))</f>
        <v/>
      </c>
      <c r="D13" s="11">
        <f>IF(A13="","",Datos!G9)</f>
        <v/>
      </c>
      <c r="E13" s="11">
        <f>IF(A13="","",C13*D13)</f>
        <v/>
      </c>
      <c r="F13" s="7">
        <f>IF(A13="","",SUMIFS(Detalle!$K$2:$K$601,Detalle!$E$2:$E$601,A13))</f>
        <v/>
      </c>
      <c r="G13" s="11">
        <f>IF(A13="","",F13*D13)</f>
        <v/>
      </c>
    </row>
    <row r="14">
      <c r="A14" s="7">
        <f>IF(Datos!E10="","",Datos!E10)</f>
        <v/>
      </c>
      <c r="B14" s="7">
        <f>IF(A14="","",Datos!F10)</f>
        <v/>
      </c>
      <c r="C14" s="7">
        <f>IF(A14="","",SUMIFS(Detalle!$G$2:$G$601,Detalle!$E$2:$E$601,A14))</f>
        <v/>
      </c>
      <c r="D14" s="11">
        <f>IF(A14="","",Datos!G10)</f>
        <v/>
      </c>
      <c r="E14" s="11">
        <f>IF(A14="","",C14*D14)</f>
        <v/>
      </c>
      <c r="F14" s="7">
        <f>IF(A14="","",SUMIFS(Detalle!$K$2:$K$601,Detalle!$E$2:$E$601,A14))</f>
        <v/>
      </c>
      <c r="G14" s="11">
        <f>IF(A14="","",F14*D14)</f>
        <v/>
      </c>
    </row>
    <row r="15">
      <c r="A15" s="7">
        <f>IF(Datos!E11="","",Datos!E11)</f>
        <v/>
      </c>
      <c r="B15" s="7">
        <f>IF(A15="","",Datos!F11)</f>
        <v/>
      </c>
      <c r="C15" s="7">
        <f>IF(A15="","",SUMIFS(Detalle!$G$2:$G$601,Detalle!$E$2:$E$601,A15))</f>
        <v/>
      </c>
      <c r="D15" s="11">
        <f>IF(A15="","",Datos!G11)</f>
        <v/>
      </c>
      <c r="E15" s="11">
        <f>IF(A15="","",C15*D15)</f>
        <v/>
      </c>
      <c r="F15" s="7">
        <f>IF(A15="","",SUMIFS(Detalle!$K$2:$K$601,Detalle!$E$2:$E$601,A15))</f>
        <v/>
      </c>
      <c r="G15" s="11">
        <f>IF(A15="","",F15*D15)</f>
        <v/>
      </c>
    </row>
    <row r="16">
      <c r="A16" s="7">
        <f>IF(Datos!E12="","",Datos!E12)</f>
        <v/>
      </c>
      <c r="B16" s="7">
        <f>IF(A16="","",Datos!F12)</f>
        <v/>
      </c>
      <c r="C16" s="7">
        <f>IF(A16="","",SUMIFS(Detalle!$G$2:$G$601,Detalle!$E$2:$E$601,A16))</f>
        <v/>
      </c>
      <c r="D16" s="11">
        <f>IF(A16="","",Datos!G12)</f>
        <v/>
      </c>
      <c r="E16" s="11">
        <f>IF(A16="","",C16*D16)</f>
        <v/>
      </c>
      <c r="F16" s="7">
        <f>IF(A16="","",SUMIFS(Detalle!$K$2:$K$601,Detalle!$E$2:$E$601,A16))</f>
        <v/>
      </c>
      <c r="G16" s="11">
        <f>IF(A16="","",F16*D16)</f>
        <v/>
      </c>
    </row>
    <row r="17">
      <c r="A17" s="7">
        <f>IF(Datos!E13="","",Datos!E13)</f>
        <v/>
      </c>
      <c r="B17" s="7">
        <f>IF(A17="","",Datos!F13)</f>
        <v/>
      </c>
      <c r="C17" s="7">
        <f>IF(A17="","",SUMIFS(Detalle!$G$2:$G$601,Detalle!$E$2:$E$601,A17))</f>
        <v/>
      </c>
      <c r="D17" s="11">
        <f>IF(A17="","",Datos!G13)</f>
        <v/>
      </c>
      <c r="E17" s="11">
        <f>IF(A17="","",C17*D17)</f>
        <v/>
      </c>
      <c r="F17" s="7">
        <f>IF(A17="","",SUMIFS(Detalle!$K$2:$K$601,Detalle!$E$2:$E$601,A17))</f>
        <v/>
      </c>
      <c r="G17" s="11">
        <f>IF(A17="","",F17*D17)</f>
        <v/>
      </c>
    </row>
    <row r="18">
      <c r="A18" s="7">
        <f>IF(Datos!E14="","",Datos!E14)</f>
        <v/>
      </c>
      <c r="B18" s="7">
        <f>IF(A18="","",Datos!F14)</f>
        <v/>
      </c>
      <c r="C18" s="7">
        <f>IF(A18="","",SUMIFS(Detalle!$G$2:$G$601,Detalle!$E$2:$E$601,A18))</f>
        <v/>
      </c>
      <c r="D18" s="11">
        <f>IF(A18="","",Datos!G14)</f>
        <v/>
      </c>
      <c r="E18" s="11">
        <f>IF(A18="","",C18*D18)</f>
        <v/>
      </c>
      <c r="F18" s="7">
        <f>IF(A18="","",SUMIFS(Detalle!$K$2:$K$601,Detalle!$E$2:$E$601,A18))</f>
        <v/>
      </c>
      <c r="G18" s="11">
        <f>IF(A18="","",F18*D18)</f>
        <v/>
      </c>
    </row>
    <row r="19">
      <c r="A19" s="7">
        <f>IF(Datos!E15="","",Datos!E15)</f>
        <v/>
      </c>
      <c r="B19" s="7">
        <f>IF(A19="","",Datos!F15)</f>
        <v/>
      </c>
      <c r="C19" s="7">
        <f>IF(A19="","",SUMIFS(Detalle!$G$2:$G$601,Detalle!$E$2:$E$601,A19))</f>
        <v/>
      </c>
      <c r="D19" s="11">
        <f>IF(A19="","",Datos!G15)</f>
        <v/>
      </c>
      <c r="E19" s="11">
        <f>IF(A19="","",C19*D19)</f>
        <v/>
      </c>
      <c r="F19" s="7">
        <f>IF(A19="","",SUMIFS(Detalle!$K$2:$K$601,Detalle!$E$2:$E$601,A19))</f>
        <v/>
      </c>
      <c r="G19" s="11">
        <f>IF(A19="","",F19*D19)</f>
        <v/>
      </c>
    </row>
    <row r="20">
      <c r="A20" s="7">
        <f>IF(Datos!E16="","",Datos!E16)</f>
        <v/>
      </c>
      <c r="B20" s="7">
        <f>IF(A20="","",Datos!F16)</f>
        <v/>
      </c>
      <c r="C20" s="7">
        <f>IF(A20="","",SUMIFS(Detalle!$G$2:$G$601,Detalle!$E$2:$E$601,A20))</f>
        <v/>
      </c>
      <c r="D20" s="11">
        <f>IF(A20="","",Datos!G16)</f>
        <v/>
      </c>
      <c r="E20" s="11">
        <f>IF(A20="","",C20*D20)</f>
        <v/>
      </c>
      <c r="F20" s="7">
        <f>IF(A20="","",SUMIFS(Detalle!$K$2:$K$601,Detalle!$E$2:$E$601,A20))</f>
        <v/>
      </c>
      <c r="G20" s="11">
        <f>IF(A20="","",F20*D20)</f>
        <v/>
      </c>
    </row>
    <row r="21">
      <c r="A21" s="7">
        <f>IF(Datos!E17="","",Datos!E17)</f>
        <v/>
      </c>
      <c r="B21" s="7">
        <f>IF(A21="","",Datos!F17)</f>
        <v/>
      </c>
      <c r="C21" s="7">
        <f>IF(A21="","",SUMIFS(Detalle!$G$2:$G$601,Detalle!$E$2:$E$601,A21))</f>
        <v/>
      </c>
      <c r="D21" s="11">
        <f>IF(A21="","",Datos!G17)</f>
        <v/>
      </c>
      <c r="E21" s="11">
        <f>IF(A21="","",C21*D21)</f>
        <v/>
      </c>
      <c r="F21" s="7">
        <f>IF(A21="","",SUMIFS(Detalle!$K$2:$K$601,Detalle!$E$2:$E$601,A21))</f>
        <v/>
      </c>
      <c r="G21" s="11">
        <f>IF(A21="","",F21*D21)</f>
        <v/>
      </c>
    </row>
    <row r="22">
      <c r="A22" s="7">
        <f>IF(Datos!E18="","",Datos!E18)</f>
        <v/>
      </c>
      <c r="B22" s="7">
        <f>IF(A22="","",Datos!F18)</f>
        <v/>
      </c>
      <c r="C22" s="7">
        <f>IF(A22="","",SUMIFS(Detalle!$G$2:$G$601,Detalle!$E$2:$E$601,A22))</f>
        <v/>
      </c>
      <c r="D22" s="11">
        <f>IF(A22="","",Datos!G18)</f>
        <v/>
      </c>
      <c r="E22" s="11">
        <f>IF(A22="","",C22*D22)</f>
        <v/>
      </c>
      <c r="F22" s="7">
        <f>IF(A22="","",SUMIFS(Detalle!$K$2:$K$601,Detalle!$E$2:$E$601,A22))</f>
        <v/>
      </c>
      <c r="G22" s="11">
        <f>IF(A22="","",F22*D22)</f>
        <v/>
      </c>
    </row>
    <row r="23">
      <c r="A23" s="7">
        <f>IF(Datos!E19="","",Datos!E19)</f>
        <v/>
      </c>
      <c r="B23" s="7">
        <f>IF(A23="","",Datos!F19)</f>
        <v/>
      </c>
      <c r="C23" s="7">
        <f>IF(A23="","",SUMIFS(Detalle!$G$2:$G$601,Detalle!$E$2:$E$601,A23))</f>
        <v/>
      </c>
      <c r="D23" s="11">
        <f>IF(A23="","",Datos!G19)</f>
        <v/>
      </c>
      <c r="E23" s="11">
        <f>IF(A23="","",C23*D23)</f>
        <v/>
      </c>
      <c r="F23" s="7">
        <f>IF(A23="","",SUMIFS(Detalle!$K$2:$K$601,Detalle!$E$2:$E$601,A23))</f>
        <v/>
      </c>
      <c r="G23" s="11">
        <f>IF(A23="","",F23*D23)</f>
        <v/>
      </c>
    </row>
    <row r="24">
      <c r="A24" s="7">
        <f>IF(Datos!E20="","",Datos!E20)</f>
        <v/>
      </c>
      <c r="B24" s="7">
        <f>IF(A24="","",Datos!F20)</f>
        <v/>
      </c>
      <c r="C24" s="7">
        <f>IF(A24="","",SUMIFS(Detalle!$G$2:$G$601,Detalle!$E$2:$E$601,A24))</f>
        <v/>
      </c>
      <c r="D24" s="11">
        <f>IF(A24="","",Datos!G20)</f>
        <v/>
      </c>
      <c r="E24" s="11">
        <f>IF(A24="","",C24*D24)</f>
        <v/>
      </c>
      <c r="F24" s="7">
        <f>IF(A24="","",SUMIFS(Detalle!$K$2:$K$601,Detalle!$E$2:$E$601,A24))</f>
        <v/>
      </c>
      <c r="G24" s="11">
        <f>IF(A24="","",F24*D24)</f>
        <v/>
      </c>
    </row>
    <row r="25">
      <c r="A25" s="7">
        <f>IF(Datos!E21="","",Datos!E21)</f>
        <v/>
      </c>
      <c r="B25" s="7">
        <f>IF(A25="","",Datos!F21)</f>
        <v/>
      </c>
      <c r="C25" s="7">
        <f>IF(A25="","",SUMIFS(Detalle!$G$2:$G$601,Detalle!$E$2:$E$601,A25))</f>
        <v/>
      </c>
      <c r="D25" s="11">
        <f>IF(A25="","",Datos!G21)</f>
        <v/>
      </c>
      <c r="E25" s="11">
        <f>IF(A25="","",C25*D25)</f>
        <v/>
      </c>
      <c r="F25" s="7">
        <f>IF(A25="","",SUMIFS(Detalle!$K$2:$K$601,Detalle!$E$2:$E$601,A25))</f>
        <v/>
      </c>
      <c r="G25" s="11">
        <f>IF(A25="","",F25*D25)</f>
        <v/>
      </c>
    </row>
    <row r="26">
      <c r="A26" s="7">
        <f>IF(Datos!E22="","",Datos!E22)</f>
        <v/>
      </c>
      <c r="B26" s="7">
        <f>IF(A26="","",Datos!F22)</f>
        <v/>
      </c>
      <c r="C26" s="7">
        <f>IF(A26="","",SUMIFS(Detalle!$G$2:$G$601,Detalle!$E$2:$E$601,A26))</f>
        <v/>
      </c>
      <c r="D26" s="11">
        <f>IF(A26="","",Datos!G22)</f>
        <v/>
      </c>
      <c r="E26" s="11">
        <f>IF(A26="","",C26*D26)</f>
        <v/>
      </c>
      <c r="F26" s="7">
        <f>IF(A26="","",SUMIFS(Detalle!$K$2:$K$601,Detalle!$E$2:$E$601,A26))</f>
        <v/>
      </c>
      <c r="G26" s="11">
        <f>IF(A26="","",F26*D26)</f>
        <v/>
      </c>
    </row>
    <row r="27">
      <c r="A27" s="6" t="inlineStr">
        <is>
          <t>Total</t>
        </is>
      </c>
      <c r="C27" s="12">
        <f>SUM(C12:C26)</f>
        <v/>
      </c>
      <c r="E27" s="12">
        <f>SUM(E12:E26)</f>
        <v/>
      </c>
      <c r="F27" s="12">
        <f>SUM(F12:F26)</f>
        <v/>
      </c>
      <c r="G27" s="12">
        <f>SUM(G12:G26)</f>
        <v/>
      </c>
    </row>
    <row r="30">
      <c r="A30" s="5" t="inlineStr">
        <is>
          <t>2. Horas por persona</t>
        </is>
      </c>
    </row>
    <row r="31" ht="25.5" customHeight="1">
      <c r="A31" s="10" t="inlineStr">
        <is>
          <t>Persona</t>
        </is>
      </c>
      <c r="B31" s="10" t="inlineStr">
        <is>
          <t>Perfil</t>
        </is>
      </c>
      <c r="C31" s="10" t="inlineStr">
        <is>
          <t>Horas</t>
        </is>
      </c>
      <c r="D31" s="10" t="inlineStr">
        <is>
          <t>Días con registro</t>
        </is>
      </c>
      <c r="E31" s="10" t="inlineStr">
        <is>
          <t>Promedio por día</t>
        </is>
      </c>
      <c r="F31" s="10" t="inlineStr">
        <is>
          <t>Horas sin descripción</t>
        </is>
      </c>
    </row>
    <row r="32">
      <c r="A32" s="7">
        <f>IF(Datos!A8="","",Datos!A8)</f>
        <v/>
      </c>
      <c r="B32" s="7">
        <f>IF(A32="","",Datos!B8)</f>
        <v/>
      </c>
      <c r="C32" s="7">
        <f>IF(A32="","",SUMIFS(Detalle!$G$2:$G$601,Detalle!$D$2:$D$601,A32))</f>
        <v/>
      </c>
      <c r="D32" s="13">
        <f>IF(A32="","",SUMIFS(Detalle!$M$2:$M$601,Detalle!$D$2:$D$601,A32))</f>
        <v/>
      </c>
      <c r="E32" s="7">
        <f>IF(OR(A32="",N(D32)=0),"",C32/D32)</f>
        <v/>
      </c>
      <c r="F32" s="7">
        <f>IF(A32="","",SUMPRODUCT((Detalle!$D$2:$D$601=A32)*ISNUMBER(SEARCH("Sin descripción",Detalle!$H$2:$H$601))*Detalle!$G$2:$G$601))</f>
        <v/>
      </c>
    </row>
    <row r="33">
      <c r="A33" s="7">
        <f>IF(Datos!A9="","",Datos!A9)</f>
        <v/>
      </c>
      <c r="B33" s="7">
        <f>IF(A33="","",Datos!B9)</f>
        <v/>
      </c>
      <c r="C33" s="7">
        <f>IF(A33="","",SUMIFS(Detalle!$G$2:$G$601,Detalle!$D$2:$D$601,A33))</f>
        <v/>
      </c>
      <c r="D33" s="13">
        <f>IF(A33="","",SUMIFS(Detalle!$M$2:$M$601,Detalle!$D$2:$D$601,A33))</f>
        <v/>
      </c>
      <c r="E33" s="7">
        <f>IF(OR(A33="",N(D33)=0),"",C33/D33)</f>
        <v/>
      </c>
      <c r="F33" s="7">
        <f>IF(A33="","",SUMPRODUCT((Detalle!$D$2:$D$601=A33)*ISNUMBER(SEARCH("Sin descripción",Detalle!$H$2:$H$601))*Detalle!$G$2:$G$601))</f>
        <v/>
      </c>
    </row>
    <row r="34">
      <c r="A34" s="7">
        <f>IF(Datos!A10="","",Datos!A10)</f>
        <v/>
      </c>
      <c r="B34" s="7">
        <f>IF(A34="","",Datos!B10)</f>
        <v/>
      </c>
      <c r="C34" s="7">
        <f>IF(A34="","",SUMIFS(Detalle!$G$2:$G$601,Detalle!$D$2:$D$601,A34))</f>
        <v/>
      </c>
      <c r="D34" s="13">
        <f>IF(A34="","",SUMIFS(Detalle!$M$2:$M$601,Detalle!$D$2:$D$601,A34))</f>
        <v/>
      </c>
      <c r="E34" s="7">
        <f>IF(OR(A34="",N(D34)=0),"",C34/D34)</f>
        <v/>
      </c>
      <c r="F34" s="7">
        <f>IF(A34="","",SUMPRODUCT((Detalle!$D$2:$D$601=A34)*ISNUMBER(SEARCH("Sin descripción",Detalle!$H$2:$H$601))*Detalle!$G$2:$G$601))</f>
        <v/>
      </c>
    </row>
    <row r="35">
      <c r="A35" s="7">
        <f>IF(Datos!A11="","",Datos!A11)</f>
        <v/>
      </c>
      <c r="B35" s="7">
        <f>IF(A35="","",Datos!B11)</f>
        <v/>
      </c>
      <c r="C35" s="7">
        <f>IF(A35="","",SUMIFS(Detalle!$G$2:$G$601,Detalle!$D$2:$D$601,A35))</f>
        <v/>
      </c>
      <c r="D35" s="13">
        <f>IF(A35="","",SUMIFS(Detalle!$M$2:$M$601,Detalle!$D$2:$D$601,A35))</f>
        <v/>
      </c>
      <c r="E35" s="7">
        <f>IF(OR(A35="",N(D35)=0),"",C35/D35)</f>
        <v/>
      </c>
      <c r="F35" s="7">
        <f>IF(A35="","",SUMPRODUCT((Detalle!$D$2:$D$601=A35)*ISNUMBER(SEARCH("Sin descripción",Detalle!$H$2:$H$601))*Detalle!$G$2:$G$601))</f>
        <v/>
      </c>
    </row>
    <row r="36">
      <c r="A36" s="7">
        <f>IF(Datos!A12="","",Datos!A12)</f>
        <v/>
      </c>
      <c r="B36" s="7">
        <f>IF(A36="","",Datos!B12)</f>
        <v/>
      </c>
      <c r="C36" s="7">
        <f>IF(A36="","",SUMIFS(Detalle!$G$2:$G$601,Detalle!$D$2:$D$601,A36))</f>
        <v/>
      </c>
      <c r="D36" s="13">
        <f>IF(A36="","",SUMIFS(Detalle!$M$2:$M$601,Detalle!$D$2:$D$601,A36))</f>
        <v/>
      </c>
      <c r="E36" s="7">
        <f>IF(OR(A36="",N(D36)=0),"",C36/D36)</f>
        <v/>
      </c>
      <c r="F36" s="7">
        <f>IF(A36="","",SUMPRODUCT((Detalle!$D$2:$D$601=A36)*ISNUMBER(SEARCH("Sin descripción",Detalle!$H$2:$H$601))*Detalle!$G$2:$G$601))</f>
        <v/>
      </c>
    </row>
    <row r="37">
      <c r="A37" s="7">
        <f>IF(Datos!A13="","",Datos!A13)</f>
        <v/>
      </c>
      <c r="B37" s="7">
        <f>IF(A37="","",Datos!B13)</f>
        <v/>
      </c>
      <c r="C37" s="7">
        <f>IF(A37="","",SUMIFS(Detalle!$G$2:$G$601,Detalle!$D$2:$D$601,A37))</f>
        <v/>
      </c>
      <c r="D37" s="13">
        <f>IF(A37="","",SUMIFS(Detalle!$M$2:$M$601,Detalle!$D$2:$D$601,A37))</f>
        <v/>
      </c>
      <c r="E37" s="7">
        <f>IF(OR(A37="",N(D37)=0),"",C37/D37)</f>
        <v/>
      </c>
      <c r="F37" s="7">
        <f>IF(A37="","",SUMPRODUCT((Detalle!$D$2:$D$601=A37)*ISNUMBER(SEARCH("Sin descripción",Detalle!$H$2:$H$601))*Detalle!$G$2:$G$601))</f>
        <v/>
      </c>
    </row>
    <row r="38">
      <c r="A38" s="7">
        <f>IF(Datos!A14="","",Datos!A14)</f>
        <v/>
      </c>
      <c r="B38" s="7">
        <f>IF(A38="","",Datos!B14)</f>
        <v/>
      </c>
      <c r="C38" s="7">
        <f>IF(A38="","",SUMIFS(Detalle!$G$2:$G$601,Detalle!$D$2:$D$601,A38))</f>
        <v/>
      </c>
      <c r="D38" s="13">
        <f>IF(A38="","",SUMIFS(Detalle!$M$2:$M$601,Detalle!$D$2:$D$601,A38))</f>
        <v/>
      </c>
      <c r="E38" s="7">
        <f>IF(OR(A38="",N(D38)=0),"",C38/D38)</f>
        <v/>
      </c>
      <c r="F38" s="7">
        <f>IF(A38="","",SUMPRODUCT((Detalle!$D$2:$D$601=A38)*ISNUMBER(SEARCH("Sin descripción",Detalle!$H$2:$H$601))*Detalle!$G$2:$G$601))</f>
        <v/>
      </c>
    </row>
    <row r="39">
      <c r="A39" s="7">
        <f>IF(Datos!A15="","",Datos!A15)</f>
        <v/>
      </c>
      <c r="B39" s="7">
        <f>IF(A39="","",Datos!B15)</f>
        <v/>
      </c>
      <c r="C39" s="7">
        <f>IF(A39="","",SUMIFS(Detalle!$G$2:$G$601,Detalle!$D$2:$D$601,A39))</f>
        <v/>
      </c>
      <c r="D39" s="13">
        <f>IF(A39="","",SUMIFS(Detalle!$M$2:$M$601,Detalle!$D$2:$D$601,A39))</f>
        <v/>
      </c>
      <c r="E39" s="7">
        <f>IF(OR(A39="",N(D39)=0),"",C39/D39)</f>
        <v/>
      </c>
      <c r="F39" s="7">
        <f>IF(A39="","",SUMPRODUCT((Detalle!$D$2:$D$601=A39)*ISNUMBER(SEARCH("Sin descripción",Detalle!$H$2:$H$601))*Detalle!$G$2:$G$601))</f>
        <v/>
      </c>
    </row>
    <row r="40">
      <c r="A40" s="7">
        <f>IF(Datos!A16="","",Datos!A16)</f>
        <v/>
      </c>
      <c r="B40" s="7">
        <f>IF(A40="","",Datos!B16)</f>
        <v/>
      </c>
      <c r="C40" s="7">
        <f>IF(A40="","",SUMIFS(Detalle!$G$2:$G$601,Detalle!$D$2:$D$601,A40))</f>
        <v/>
      </c>
      <c r="D40" s="13">
        <f>IF(A40="","",SUMIFS(Detalle!$M$2:$M$601,Detalle!$D$2:$D$601,A40))</f>
        <v/>
      </c>
      <c r="E40" s="7">
        <f>IF(OR(A40="",N(D40)=0),"",C40/D40)</f>
        <v/>
      </c>
      <c r="F40" s="7">
        <f>IF(A40="","",SUMPRODUCT((Detalle!$D$2:$D$601=A40)*ISNUMBER(SEARCH("Sin descripción",Detalle!$H$2:$H$601))*Detalle!$G$2:$G$601))</f>
        <v/>
      </c>
    </row>
    <row r="41">
      <c r="A41" s="7">
        <f>IF(Datos!A17="","",Datos!A17)</f>
        <v/>
      </c>
      <c r="B41" s="7">
        <f>IF(A41="","",Datos!B17)</f>
        <v/>
      </c>
      <c r="C41" s="7">
        <f>IF(A41="","",SUMIFS(Detalle!$G$2:$G$601,Detalle!$D$2:$D$601,A41))</f>
        <v/>
      </c>
      <c r="D41" s="13">
        <f>IF(A41="","",SUMIFS(Detalle!$M$2:$M$601,Detalle!$D$2:$D$601,A41))</f>
        <v/>
      </c>
      <c r="E41" s="7">
        <f>IF(OR(A41="",N(D41)=0),"",C41/D41)</f>
        <v/>
      </c>
      <c r="F41" s="7">
        <f>IF(A41="","",SUMPRODUCT((Detalle!$D$2:$D$601=A41)*ISNUMBER(SEARCH("Sin descripción",Detalle!$H$2:$H$601))*Detalle!$G$2:$G$601))</f>
        <v/>
      </c>
    </row>
    <row r="42">
      <c r="A42" s="7">
        <f>IF(Datos!A18="","",Datos!A18)</f>
        <v/>
      </c>
      <c r="B42" s="7">
        <f>IF(A42="","",Datos!B18)</f>
        <v/>
      </c>
      <c r="C42" s="7">
        <f>IF(A42="","",SUMIFS(Detalle!$G$2:$G$601,Detalle!$D$2:$D$601,A42))</f>
        <v/>
      </c>
      <c r="D42" s="13">
        <f>IF(A42="","",SUMIFS(Detalle!$M$2:$M$601,Detalle!$D$2:$D$601,A42))</f>
        <v/>
      </c>
      <c r="E42" s="7">
        <f>IF(OR(A42="",N(D42)=0),"",C42/D42)</f>
        <v/>
      </c>
      <c r="F42" s="7">
        <f>IF(A42="","",SUMPRODUCT((Detalle!$D$2:$D$601=A42)*ISNUMBER(SEARCH("Sin descripción",Detalle!$H$2:$H$601))*Detalle!$G$2:$G$601))</f>
        <v/>
      </c>
    </row>
    <row r="43">
      <c r="A43" s="7">
        <f>IF(Datos!A19="","",Datos!A19)</f>
        <v/>
      </c>
      <c r="B43" s="7">
        <f>IF(A43="","",Datos!B19)</f>
        <v/>
      </c>
      <c r="C43" s="7">
        <f>IF(A43="","",SUMIFS(Detalle!$G$2:$G$601,Detalle!$D$2:$D$601,A43))</f>
        <v/>
      </c>
      <c r="D43" s="13">
        <f>IF(A43="","",SUMIFS(Detalle!$M$2:$M$601,Detalle!$D$2:$D$601,A43))</f>
        <v/>
      </c>
      <c r="E43" s="7">
        <f>IF(OR(A43="",N(D43)=0),"",C43/D43)</f>
        <v/>
      </c>
      <c r="F43" s="7">
        <f>IF(A43="","",SUMPRODUCT((Detalle!$D$2:$D$601=A43)*ISNUMBER(SEARCH("Sin descripción",Detalle!$H$2:$H$601))*Detalle!$G$2:$G$601))</f>
        <v/>
      </c>
    </row>
    <row r="44">
      <c r="A44" s="7">
        <f>IF(Datos!A20="","",Datos!A20)</f>
        <v/>
      </c>
      <c r="B44" s="7">
        <f>IF(A44="","",Datos!B20)</f>
        <v/>
      </c>
      <c r="C44" s="7">
        <f>IF(A44="","",SUMIFS(Detalle!$G$2:$G$601,Detalle!$D$2:$D$601,A44))</f>
        <v/>
      </c>
      <c r="D44" s="13">
        <f>IF(A44="","",SUMIFS(Detalle!$M$2:$M$601,Detalle!$D$2:$D$601,A44))</f>
        <v/>
      </c>
      <c r="E44" s="7">
        <f>IF(OR(A44="",N(D44)=0),"",C44/D44)</f>
        <v/>
      </c>
      <c r="F44" s="7">
        <f>IF(A44="","",SUMPRODUCT((Detalle!$D$2:$D$601=A44)*ISNUMBER(SEARCH("Sin descripción",Detalle!$H$2:$H$601))*Detalle!$G$2:$G$601))</f>
        <v/>
      </c>
    </row>
    <row r="45">
      <c r="A45" s="7">
        <f>IF(Datos!A21="","",Datos!A21)</f>
        <v/>
      </c>
      <c r="B45" s="7">
        <f>IF(A45="","",Datos!B21)</f>
        <v/>
      </c>
      <c r="C45" s="7">
        <f>IF(A45="","",SUMIFS(Detalle!$G$2:$G$601,Detalle!$D$2:$D$601,A45))</f>
        <v/>
      </c>
      <c r="D45" s="13">
        <f>IF(A45="","",SUMIFS(Detalle!$M$2:$M$601,Detalle!$D$2:$D$601,A45))</f>
        <v/>
      </c>
      <c r="E45" s="7">
        <f>IF(OR(A45="",N(D45)=0),"",C45/D45)</f>
        <v/>
      </c>
      <c r="F45" s="7">
        <f>IF(A45="","",SUMPRODUCT((Detalle!$D$2:$D$601=A45)*ISNUMBER(SEARCH("Sin descripción",Detalle!$H$2:$H$601))*Detalle!$G$2:$G$601))</f>
        <v/>
      </c>
    </row>
    <row r="46">
      <c r="A46" s="7">
        <f>IF(Datos!A22="","",Datos!A22)</f>
        <v/>
      </c>
      <c r="B46" s="7">
        <f>IF(A46="","",Datos!B22)</f>
        <v/>
      </c>
      <c r="C46" s="7">
        <f>IF(A46="","",SUMIFS(Detalle!$G$2:$G$601,Detalle!$D$2:$D$601,A46))</f>
        <v/>
      </c>
      <c r="D46" s="13">
        <f>IF(A46="","",SUMIFS(Detalle!$M$2:$M$601,Detalle!$D$2:$D$601,A46))</f>
        <v/>
      </c>
      <c r="E46" s="7">
        <f>IF(OR(A46="",N(D46)=0),"",C46/D46)</f>
        <v/>
      </c>
      <c r="F46" s="7">
        <f>IF(A46="","",SUMPRODUCT((Detalle!$D$2:$D$601=A46)*ISNUMBER(SEARCH("Sin descripción",Detalle!$H$2:$H$601))*Detalle!$G$2:$G$601))</f>
        <v/>
      </c>
    </row>
    <row r="47">
      <c r="A47" s="6" t="inlineStr">
        <is>
          <t>Total</t>
        </is>
      </c>
      <c r="C47" s="14">
        <f>SUM(C32:C46)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10" defaultColWidth="9.140625" defaultRowHeight="15"/>
  <cols>
    <col width="30" customWidth="1" min="1" max="1"/>
    <col width="18" customWidth="1" min="2" max="2"/>
    <col width="20" customWidth="1" min="3" max="3"/>
    <col width="4" customWidth="1" min="4" max="4"/>
    <col width="18" customWidth="1" min="5" max="5"/>
    <col width="34" customWidth="1" min="6" max="6"/>
    <col width="12" customWidth="1" min="7" max="7"/>
  </cols>
  <sheetData>
    <row r="1" ht="15.75" customHeight="1">
      <c r="A1" s="15" t="inlineStr">
        <is>
          <t>Datos del período</t>
        </is>
      </c>
    </row>
    <row r="2">
      <c r="A2" s="6" t="inlineStr">
        <is>
          <t>Período (mes y año)</t>
        </is>
      </c>
      <c r="B2" s="16" t="n"/>
    </row>
    <row r="3">
      <c r="A3" s="6" t="inlineStr">
        <is>
          <t>Contrato de fecha</t>
        </is>
      </c>
      <c r="B3" s="16" t="inlineStr">
        <is>
          <t>[DD/MM/AAAA]</t>
        </is>
      </c>
    </row>
    <row r="4">
      <c r="A4" s="6" t="inlineStr">
        <is>
          <t>Proveedor</t>
        </is>
      </c>
      <c r="B4" s="16" t="inlineStr">
        <is>
          <t>KLG</t>
        </is>
      </c>
    </row>
    <row r="6" ht="15.75" customHeight="1">
      <c r="A6" s="15" t="inlineStr">
        <is>
          <t>Equipo</t>
        </is>
      </c>
      <c r="E6" s="15" t="inlineStr">
        <is>
          <t>Valor hora por proyecto</t>
        </is>
      </c>
    </row>
    <row r="7" ht="25.5" customHeight="1">
      <c r="A7" s="10" t="inlineStr">
        <is>
          <t>Persona (igual que en Kimai)</t>
        </is>
      </c>
      <c r="B7" s="10" t="inlineStr">
        <is>
          <t>Perfil</t>
        </is>
      </c>
      <c r="C7" s="10" t="inlineStr">
        <is>
          <t>Usuario Kimai</t>
        </is>
      </c>
      <c r="E7" s="10" t="inlineStr">
        <is>
          <t>Proyecto (igual que en Kimai)</t>
        </is>
      </c>
      <c r="F7" s="10" t="inlineStr">
        <is>
          <t>Cliente</t>
        </is>
      </c>
      <c r="G7" s="10" t="inlineStr">
        <is>
          <t>Valor hora</t>
        </is>
      </c>
    </row>
    <row r="8">
      <c r="A8" s="16" t="n"/>
      <c r="B8" s="16" t="n"/>
      <c r="C8" s="16" t="n"/>
      <c r="E8" s="16" t="inlineStr">
        <is>
          <t>SELICO</t>
        </is>
      </c>
      <c r="F8" s="16" t="inlineStr">
        <is>
          <t>MINVU</t>
        </is>
      </c>
      <c r="G8" s="17" t="n">
        <v>17</v>
      </c>
    </row>
    <row r="9">
      <c r="A9" s="16" t="n"/>
      <c r="B9" s="16" t="n"/>
      <c r="C9" s="16" t="n"/>
      <c r="E9" s="16" t="inlineStr">
        <is>
          <t>Subastas</t>
        </is>
      </c>
      <c r="F9" s="16" t="inlineStr">
        <is>
          <t>Servicio Nacional de Aduanas</t>
        </is>
      </c>
      <c r="G9" s="17" t="n">
        <v>20</v>
      </c>
    </row>
    <row r="10">
      <c r="A10" s="16" t="n"/>
      <c r="B10" s="16" t="n"/>
      <c r="C10" s="16" t="n"/>
      <c r="E10" s="16" t="inlineStr">
        <is>
          <t>SIAC-OIRS</t>
        </is>
      </c>
      <c r="F10" s="16" t="inlineStr">
        <is>
          <t>Instituto de Salud Pública de Chile</t>
        </is>
      </c>
      <c r="G10" s="17" t="n">
        <v>20</v>
      </c>
    </row>
    <row r="11">
      <c r="A11" s="16" t="n"/>
      <c r="B11" s="16" t="n"/>
      <c r="C11" s="16" t="n"/>
      <c r="E11" s="16" t="inlineStr">
        <is>
          <t>VictoriusCP2</t>
        </is>
      </c>
      <c r="F11" s="16" t="inlineStr">
        <is>
          <t>C.UNIX</t>
        </is>
      </c>
      <c r="G11" s="17" t="n">
        <v>17</v>
      </c>
    </row>
    <row r="12">
      <c r="A12" s="16" t="n"/>
      <c r="B12" s="16" t="n"/>
      <c r="C12" s="16" t="n"/>
      <c r="E12" s="16" t="inlineStr">
        <is>
          <t>Victorius 3</t>
        </is>
      </c>
      <c r="F12" s="16" t="inlineStr">
        <is>
          <t>C.UNIX</t>
        </is>
      </c>
      <c r="G12" s="17" t="n">
        <v>17</v>
      </c>
    </row>
    <row r="13">
      <c r="A13" s="16" t="n"/>
      <c r="B13" s="16" t="n"/>
      <c r="C13" s="16" t="n"/>
      <c r="E13" s="16" t="n"/>
      <c r="F13" s="16" t="n"/>
      <c r="G13" s="17" t="n"/>
    </row>
    <row r="14">
      <c r="A14" s="16" t="n"/>
      <c r="B14" s="16" t="n"/>
      <c r="C14" s="16" t="n"/>
      <c r="E14" s="16" t="n"/>
      <c r="F14" s="16" t="n"/>
      <c r="G14" s="17" t="n"/>
    </row>
    <row r="15">
      <c r="A15" s="16" t="n"/>
      <c r="B15" s="16" t="n"/>
      <c r="C15" s="16" t="n"/>
      <c r="E15" s="16" t="n"/>
      <c r="F15" s="16" t="n"/>
      <c r="G15" s="17" t="n"/>
    </row>
    <row r="16">
      <c r="A16" s="16" t="n"/>
      <c r="B16" s="16" t="n"/>
      <c r="C16" s="16" t="n"/>
      <c r="E16" s="16" t="n"/>
      <c r="F16" s="16" t="n"/>
      <c r="G16" s="17" t="n"/>
    </row>
    <row r="17">
      <c r="A17" s="16" t="n"/>
      <c r="B17" s="16" t="n"/>
      <c r="C17" s="16" t="n"/>
      <c r="E17" s="16" t="n"/>
      <c r="F17" s="16" t="n"/>
      <c r="G17" s="17" t="n"/>
    </row>
    <row r="18">
      <c r="A18" s="16" t="n"/>
      <c r="B18" s="16" t="n"/>
      <c r="C18" s="16" t="n"/>
      <c r="E18" s="16" t="n"/>
      <c r="F18" s="16" t="n"/>
      <c r="G18" s="17" t="n"/>
    </row>
    <row r="19">
      <c r="A19" s="16" t="n"/>
      <c r="B19" s="16" t="n"/>
      <c r="C19" s="16" t="n"/>
      <c r="E19" s="16" t="n"/>
      <c r="F19" s="16" t="n"/>
      <c r="G19" s="17" t="n"/>
    </row>
    <row r="20">
      <c r="A20" s="16" t="n"/>
      <c r="B20" s="16" t="n"/>
      <c r="C20" s="16" t="n"/>
      <c r="E20" s="16" t="n"/>
      <c r="F20" s="16" t="n"/>
      <c r="G20" s="17" t="n"/>
    </row>
    <row r="21">
      <c r="A21" s="16" t="n"/>
      <c r="B21" s="16" t="n"/>
      <c r="C21" s="16" t="n"/>
      <c r="E21" s="16" t="n"/>
      <c r="F21" s="16" t="n"/>
      <c r="G21" s="17" t="n"/>
    </row>
    <row r="22">
      <c r="A22" s="16" t="n"/>
      <c r="B22" s="16" t="n"/>
      <c r="C22" s="16" t="n"/>
      <c r="E22" s="16" t="n"/>
      <c r="F22" s="16" t="n"/>
      <c r="G22" s="17" t="n"/>
    </row>
    <row r="24">
      <c r="E24" s="9" t="inlineStr">
        <is>
          <t>Valores hora tomados del informe de agosto 2026: confirmar contra el contrato.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11" customWidth="1" min="1" max="1"/>
    <col width="7" customWidth="1" min="2" max="3"/>
    <col width="20" customWidth="1" min="4" max="4"/>
    <col width="14" customWidth="1" min="5" max="5"/>
    <col width="60" customWidth="1" min="6" max="6"/>
    <col width="7" customWidth="1" min="7" max="7"/>
    <col width="30" customWidth="1" min="8" max="8"/>
    <col width="13" customWidth="1" min="9" max="9"/>
    <col width="10" customWidth="1" min="10" max="10"/>
    <col width="9" customWidth="1" min="11" max="11"/>
    <col width="34" customWidth="1" min="12" max="12"/>
    <col width="8" customWidth="1" min="13" max="13"/>
  </cols>
  <sheetData>
    <row r="1" ht="32.1" customHeight="1">
      <c r="A1" s="10" t="inlineStr">
        <is>
          <t>Fecha</t>
        </is>
      </c>
      <c r="B1" s="10" t="inlineStr">
        <is>
          <t>Inicio</t>
        </is>
      </c>
      <c r="C1" s="10" t="inlineStr">
        <is>
          <t>Fin</t>
        </is>
      </c>
      <c r="D1" s="10" t="inlineStr">
        <is>
          <t>Persona</t>
        </is>
      </c>
      <c r="E1" s="10" t="inlineStr">
        <is>
          <t>Proyecto</t>
        </is>
      </c>
      <c r="F1" s="10" t="inlineStr">
        <is>
          <t>Descripción (ticket – qué se hizo)</t>
        </is>
      </c>
      <c r="G1" s="10" t="inlineStr">
        <is>
          <t>Horas</t>
        </is>
      </c>
      <c r="H1" s="10" t="inlineStr">
        <is>
          <t>Alertas</t>
        </is>
      </c>
      <c r="I1" s="18" t="inlineStr">
        <is>
          <t>Revisión C.UNIX</t>
        </is>
      </c>
      <c r="J1" s="18" t="inlineStr">
        <is>
          <t>Horas aprobadas</t>
        </is>
      </c>
      <c r="K1" s="10" t="inlineStr">
        <is>
          <t>Horas a pagar</t>
        </is>
      </c>
      <c r="L1" s="18" t="inlineStr">
        <is>
          <t>Observación C.UNIX</t>
        </is>
      </c>
      <c r="M1" s="19" t="inlineStr">
        <is>
          <t>Día nuevo (cálculo)</t>
        </is>
      </c>
    </row>
    <row r="2">
      <c r="A2" s="32" t="n"/>
      <c r="B2" s="33" t="n"/>
      <c r="C2" s="33" t="n"/>
      <c r="D2" s="34" t="n"/>
      <c r="E2" s="34" t="n"/>
      <c r="F2" s="35" t="n"/>
      <c r="G2" s="36" t="n"/>
      <c r="H2" s="20">
        <f>IF(A2="","",TRIM(IF(WEEKDAY(A2,2)&gt;5,"Fin de semana. ","")&amp;IF(SUMIFS($G$2:$G$601,$A$2:$A$601,A2,$D$2:$D$601,D2)&gt;9,"Más de 9 h en el día. ","")&amp;IF(AND(B2&lt;&gt;"",C2&lt;&gt;"",C2&lt;B2),"Cruza la medianoche. ","")&amp;IF(LEN(TRIM(F2))&lt;15,"Sin descripción suficiente. ","")&amp;IF(AND(ISERROR(SEARCH("R-0",F2)),ISERROR(SEARCH("CU-",F2))),"Sin ticket. ","")&amp;IF(ISNA(MATCH(E2,Datos!$E$8:$E$22,0)),"Proyecto sin valor hora. ","")&amp;IF(ISNA(MATCH(D2,Datos!$A$8:$A$22,0)),"Persona fuera del equipo. ","")))</f>
        <v/>
      </c>
      <c r="I2" s="21" t="n"/>
      <c r="J2" s="22" t="n"/>
      <c r="K2" s="23">
        <f>IF(G2="","",IF(J2&lt;&gt;"",MIN(J2,G2),IF(OR(I2="Observada",I2="Rechazada"),0,G2)))</f>
        <v/>
      </c>
      <c r="L2" s="24" t="n"/>
      <c r="M2" s="25">
        <f>IF(OR(A2="",D2=""),0,IF(COUNTIFS($A$2:A2,A2,$D$2:D2,D2)=1,1,0))</f>
        <v/>
      </c>
    </row>
    <row r="3">
      <c r="A3" s="32" t="n"/>
      <c r="B3" s="33" t="n"/>
      <c r="C3" s="33" t="n"/>
      <c r="D3" s="34" t="n"/>
      <c r="E3" s="34" t="n"/>
      <c r="F3" s="35" t="n"/>
      <c r="G3" s="36" t="n"/>
      <c r="H3" s="20">
        <f>IF(A3="","",TRIM(IF(WEEKDAY(A3,2)&gt;5,"Fin de semana. ","")&amp;IF(SUMIFS($G$2:$G$601,$A$2:$A$601,A3,$D$2:$D$601,D3)&gt;9,"Más de 9 h en el día. ","")&amp;IF(AND(B3&lt;&gt;"",C3&lt;&gt;"",C3&lt;B3),"Cruza la medianoche. ","")&amp;IF(LEN(TRIM(F3))&lt;15,"Sin descripción suficiente. ","")&amp;IF(AND(ISERROR(SEARCH("R-0",F3)),ISERROR(SEARCH("CU-",F3))),"Sin ticket. ","")&amp;IF(ISNA(MATCH(E3,Datos!$E$8:$E$22,0)),"Proyecto sin valor hora. ","")&amp;IF(ISNA(MATCH(D3,Datos!$A$8:$A$22,0)),"Persona fuera del equipo. ","")))</f>
        <v/>
      </c>
      <c r="I3" s="21" t="n"/>
      <c r="J3" s="22" t="n"/>
      <c r="K3" s="23">
        <f>IF(G3="","",IF(J3&lt;&gt;"",MIN(J3,G3),IF(OR(I3="Observada",I3="Rechazada"),0,G3)))</f>
        <v/>
      </c>
      <c r="L3" s="24" t="n"/>
      <c r="M3" s="25">
        <f>IF(OR(A3="",D3=""),0,IF(COUNTIFS($A$2:A3,A3,$D$2:D3,D3)=1,1,0))</f>
        <v/>
      </c>
    </row>
    <row r="4">
      <c r="A4" s="26" t="n"/>
      <c r="B4" s="27" t="n"/>
      <c r="C4" s="27" t="n"/>
      <c r="D4" s="28" t="n"/>
      <c r="E4" s="28" t="n"/>
      <c r="F4" s="29" t="n"/>
      <c r="G4" s="30" t="n"/>
      <c r="H4" s="20">
        <f>IF(A4="","",TRIM(IF(WEEKDAY(A4,2)&gt;5,"Fin de semana. ","")&amp;IF(SUMIFS($G$2:$G$601,$A$2:$A$601,A4,$D$2:$D$601,D4)&gt;9,"Más de 9 h en el día. ","")&amp;IF(AND(B4&lt;&gt;"",C4&lt;&gt;"",C4&lt;B4),"Cruza la medianoche. ","")&amp;IF(LEN(TRIM(F4))&lt;15,"Sin descripción suficiente. ","")&amp;IF(AND(ISERROR(SEARCH("R-0",F4)),ISERROR(SEARCH("CU-",F4))),"Sin ticket. ","")&amp;IF(ISNA(MATCH(E4,Datos!$E$8:$E$22,0)),"Proyecto sin valor hora. ","")&amp;IF(ISNA(MATCH(D4,Datos!$A$8:$A$22,0)),"Persona fuera del equipo. ","")))</f>
        <v/>
      </c>
      <c r="I4" s="21" t="n"/>
      <c r="J4" s="22" t="n"/>
      <c r="K4" s="23">
        <f>IF(G4="","",IF(J4&lt;&gt;"",MIN(J4,G4),IF(OR(I4="Observada",I4="Rechazada"),0,G4)))</f>
        <v/>
      </c>
      <c r="L4" s="24" t="n"/>
      <c r="M4" s="25">
        <f>IF(OR(A4="",D4=""),0,IF(COUNTIFS($A$2:A4,A4,$D$2:D4,D4)=1,1,0))</f>
        <v/>
      </c>
    </row>
    <row r="5">
      <c r="A5" s="26" t="n"/>
      <c r="B5" s="27" t="n"/>
      <c r="C5" s="27" t="n"/>
      <c r="D5" s="28" t="n"/>
      <c r="E5" s="28" t="n"/>
      <c r="F5" s="29" t="n"/>
      <c r="G5" s="30" t="n"/>
      <c r="H5" s="20">
        <f>IF(A5="","",TRIM(IF(WEEKDAY(A5,2)&gt;5,"Fin de semana. ","")&amp;IF(SUMIFS($G$2:$G$601,$A$2:$A$601,A5,$D$2:$D$601,D5)&gt;9,"Más de 9 h en el día. ","")&amp;IF(AND(B5&lt;&gt;"",C5&lt;&gt;"",C5&lt;B5),"Cruza la medianoche. ","")&amp;IF(LEN(TRIM(F5))&lt;15,"Sin descripción suficiente. ","")&amp;IF(AND(ISERROR(SEARCH("R-0",F5)),ISERROR(SEARCH("CU-",F5))),"Sin ticket. ","")&amp;IF(ISNA(MATCH(E5,Datos!$E$8:$E$22,0)),"Proyecto sin valor hora. ","")&amp;IF(ISNA(MATCH(D5,Datos!$A$8:$A$22,0)),"Persona fuera del equipo. ","")))</f>
        <v/>
      </c>
      <c r="I5" s="21" t="n"/>
      <c r="J5" s="22" t="n"/>
      <c r="K5" s="23">
        <f>IF(G5="","",IF(J5&lt;&gt;"",MIN(J5,G5),IF(OR(I5="Observada",I5="Rechazada"),0,G5)))</f>
        <v/>
      </c>
      <c r="L5" s="24" t="n"/>
      <c r="M5" s="25">
        <f>IF(OR(A5="",D5=""),0,IF(COUNTIFS($A$2:A5,A5,$D$2:D5,D5)=1,1,0))</f>
        <v/>
      </c>
    </row>
    <row r="6">
      <c r="A6" s="26" t="n"/>
      <c r="B6" s="27" t="n"/>
      <c r="C6" s="27" t="n"/>
      <c r="D6" s="28" t="n"/>
      <c r="E6" s="28" t="n"/>
      <c r="F6" s="29" t="n"/>
      <c r="G6" s="30" t="n"/>
      <c r="H6" s="20">
        <f>IF(A6="","",TRIM(IF(WEEKDAY(A6,2)&gt;5,"Fin de semana. ","")&amp;IF(SUMIFS($G$2:$G$601,$A$2:$A$601,A6,$D$2:$D$601,D6)&gt;9,"Más de 9 h en el día. ","")&amp;IF(AND(B6&lt;&gt;"",C6&lt;&gt;"",C6&lt;B6),"Cruza la medianoche. ","")&amp;IF(LEN(TRIM(F6))&lt;15,"Sin descripción suficiente. ","")&amp;IF(AND(ISERROR(SEARCH("R-0",F6)),ISERROR(SEARCH("CU-",F6))),"Sin ticket. ","")&amp;IF(ISNA(MATCH(E6,Datos!$E$8:$E$22,0)),"Proyecto sin valor hora. ","")&amp;IF(ISNA(MATCH(D6,Datos!$A$8:$A$22,0)),"Persona fuera del equipo. ","")))</f>
        <v/>
      </c>
      <c r="I6" s="21" t="n"/>
      <c r="J6" s="22" t="n"/>
      <c r="K6" s="23">
        <f>IF(G6="","",IF(J6&lt;&gt;"",MIN(J6,G6),IF(OR(I6="Observada",I6="Rechazada"),0,G6)))</f>
        <v/>
      </c>
      <c r="L6" s="24" t="n"/>
      <c r="M6" s="25">
        <f>IF(OR(A6="",D6=""),0,IF(COUNTIFS($A$2:A6,A6,$D$2:D6,D6)=1,1,0))</f>
        <v/>
      </c>
    </row>
    <row r="7">
      <c r="A7" s="26" t="n"/>
      <c r="B7" s="27" t="n"/>
      <c r="C7" s="27" t="n"/>
      <c r="D7" s="28" t="n"/>
      <c r="E7" s="28" t="n"/>
      <c r="F7" s="29" t="n"/>
      <c r="G7" s="30" t="n"/>
      <c r="H7" s="20">
        <f>IF(A7="","",TRIM(IF(WEEKDAY(A7,2)&gt;5,"Fin de semana. ","")&amp;IF(SUMIFS($G$2:$G$601,$A$2:$A$601,A7,$D$2:$D$601,D7)&gt;9,"Más de 9 h en el día. ","")&amp;IF(AND(B7&lt;&gt;"",C7&lt;&gt;"",C7&lt;B7),"Cruza la medianoche. ","")&amp;IF(LEN(TRIM(F7))&lt;15,"Sin descripción suficiente. ","")&amp;IF(AND(ISERROR(SEARCH("R-0",F7)),ISERROR(SEARCH("CU-",F7))),"Sin ticket. ","")&amp;IF(ISNA(MATCH(E7,Datos!$E$8:$E$22,0)),"Proyecto sin valor hora. ","")&amp;IF(ISNA(MATCH(D7,Datos!$A$8:$A$22,0)),"Persona fuera del equipo. ","")))</f>
        <v/>
      </c>
      <c r="I7" s="21" t="n"/>
      <c r="J7" s="22" t="n"/>
      <c r="K7" s="23">
        <f>IF(G7="","",IF(J7&lt;&gt;"",MIN(J7,G7),IF(OR(I7="Observada",I7="Rechazada"),0,G7)))</f>
        <v/>
      </c>
      <c r="L7" s="24" t="n"/>
      <c r="M7" s="25">
        <f>IF(OR(A7="",D7=""),0,IF(COUNTIFS($A$2:A7,A7,$D$2:D7,D7)=1,1,0))</f>
        <v/>
      </c>
    </row>
    <row r="8">
      <c r="A8" s="26" t="n"/>
      <c r="B8" s="27" t="n"/>
      <c r="C8" s="27" t="n"/>
      <c r="D8" s="28" t="n"/>
      <c r="E8" s="28" t="n"/>
      <c r="F8" s="29" t="n"/>
      <c r="G8" s="30" t="n"/>
      <c r="H8" s="20">
        <f>IF(A8="","",TRIM(IF(WEEKDAY(A8,2)&gt;5,"Fin de semana. ","")&amp;IF(SUMIFS($G$2:$G$601,$A$2:$A$601,A8,$D$2:$D$601,D8)&gt;9,"Más de 9 h en el día. ","")&amp;IF(AND(B8&lt;&gt;"",C8&lt;&gt;"",C8&lt;B8),"Cruza la medianoche. ","")&amp;IF(LEN(TRIM(F8))&lt;15,"Sin descripción suficiente. ","")&amp;IF(AND(ISERROR(SEARCH("R-0",F8)),ISERROR(SEARCH("CU-",F8))),"Sin ticket. ","")&amp;IF(ISNA(MATCH(E8,Datos!$E$8:$E$22,0)),"Proyecto sin valor hora. ","")&amp;IF(ISNA(MATCH(D8,Datos!$A$8:$A$22,0)),"Persona fuera del equipo. ","")))</f>
        <v/>
      </c>
      <c r="I8" s="21" t="n"/>
      <c r="J8" s="22" t="n"/>
      <c r="K8" s="23">
        <f>IF(G8="","",IF(J8&lt;&gt;"",MIN(J8,G8),IF(OR(I8="Observada",I8="Rechazada"),0,G8)))</f>
        <v/>
      </c>
      <c r="L8" s="24" t="n"/>
      <c r="M8" s="25">
        <f>IF(OR(A8="",D8=""),0,IF(COUNTIFS($A$2:A8,A8,$D$2:D8,D8)=1,1,0))</f>
        <v/>
      </c>
    </row>
    <row r="9" ht="25.5" customHeight="1">
      <c r="A9" s="26" t="n"/>
      <c r="B9" s="27" t="n"/>
      <c r="C9" s="27" t="n"/>
      <c r="D9" s="28" t="n"/>
      <c r="E9" s="28" t="n"/>
      <c r="F9" s="29" t="n"/>
      <c r="G9" s="30" t="n"/>
      <c r="H9" s="20">
        <f>IF(A9="","",TRIM(IF(WEEKDAY(A9,2)&gt;5,"Fin de semana. ","")&amp;IF(SUMIFS($G$2:$G$601,$A$2:$A$601,A9,$D$2:$D$601,D9)&gt;9,"Más de 9 h en el día. ","")&amp;IF(AND(B9&lt;&gt;"",C9&lt;&gt;"",C9&lt;B9),"Cruza la medianoche. ","")&amp;IF(LEN(TRIM(F9))&lt;15,"Sin descripción suficiente. ","")&amp;IF(AND(ISERROR(SEARCH("R-0",F9)),ISERROR(SEARCH("CU-",F9))),"Sin ticket. ","")&amp;IF(ISNA(MATCH(E9,Datos!$E$8:$E$22,0)),"Proyecto sin valor hora. ","")&amp;IF(ISNA(MATCH(D9,Datos!$A$8:$A$22,0)),"Persona fuera del equipo. ","")))</f>
        <v/>
      </c>
      <c r="I9" s="21" t="n"/>
      <c r="J9" s="22" t="n"/>
      <c r="K9" s="23">
        <f>IF(G9="","",IF(J9&lt;&gt;"",MIN(J9,G9),IF(OR(I9="Observada",I9="Rechazada"),0,G9)))</f>
        <v/>
      </c>
      <c r="L9" s="24" t="n"/>
      <c r="M9" s="25">
        <f>IF(OR(A9="",D9=""),0,IF(COUNTIFS($A$2:A9,A9,$D$2:D9,D9)=1,1,0))</f>
        <v/>
      </c>
    </row>
    <row r="10">
      <c r="A10" s="26" t="n"/>
      <c r="B10" s="27" t="n"/>
      <c r="C10" s="27" t="n"/>
      <c r="D10" s="28" t="n"/>
      <c r="E10" s="28" t="n"/>
      <c r="F10" s="29" t="n"/>
      <c r="G10" s="30" t="n"/>
      <c r="H10" s="20">
        <f>IF(A10="","",TRIM(IF(WEEKDAY(A10,2)&gt;5,"Fin de semana. ","")&amp;IF(SUMIFS($G$2:$G$601,$A$2:$A$601,A10,$D$2:$D$601,D10)&gt;9,"Más de 9 h en el día. ","")&amp;IF(AND(B10&lt;&gt;"",C10&lt;&gt;"",C10&lt;B10),"Cruza la medianoche. ","")&amp;IF(LEN(TRIM(F10))&lt;15,"Sin descripción suficiente. ","")&amp;IF(AND(ISERROR(SEARCH("R-0",F10)),ISERROR(SEARCH("CU-",F10))),"Sin ticket. ","")&amp;IF(ISNA(MATCH(E10,Datos!$E$8:$E$22,0)),"Proyecto sin valor hora. ","")&amp;IF(ISNA(MATCH(D10,Datos!$A$8:$A$22,0)),"Persona fuera del equipo. ","")))</f>
        <v/>
      </c>
      <c r="I10" s="21" t="n"/>
      <c r="J10" s="22" t="n"/>
      <c r="K10" s="23">
        <f>IF(G10="","",IF(J10&lt;&gt;"",MIN(J10,G10),IF(OR(I10="Observada",I10="Rechazada"),0,G10)))</f>
        <v/>
      </c>
      <c r="L10" s="24" t="n"/>
      <c r="M10" s="25">
        <f>IF(OR(A10="",D10=""),0,IF(COUNTIFS($A$2:A10,A10,$D$2:D10,D10)=1,1,0))</f>
        <v/>
      </c>
    </row>
    <row r="11">
      <c r="A11" s="26" t="n"/>
      <c r="B11" s="27" t="n"/>
      <c r="C11" s="27" t="n"/>
      <c r="D11" s="28" t="n"/>
      <c r="E11" s="28" t="n"/>
      <c r="F11" s="29" t="n"/>
      <c r="G11" s="30" t="n"/>
      <c r="H11" s="20">
        <f>IF(A11="","",TRIM(IF(WEEKDAY(A11,2)&gt;5,"Fin de semana. ","")&amp;IF(SUMIFS($G$2:$G$601,$A$2:$A$601,A11,$D$2:$D$601,D11)&gt;9,"Más de 9 h en el día. ","")&amp;IF(AND(B11&lt;&gt;"",C11&lt;&gt;"",C11&lt;B11),"Cruza la medianoche. ","")&amp;IF(LEN(TRIM(F11))&lt;15,"Sin descripción suficiente. ","")&amp;IF(AND(ISERROR(SEARCH("R-0",F11)),ISERROR(SEARCH("CU-",F11))),"Sin ticket. ","")&amp;IF(ISNA(MATCH(E11,Datos!$E$8:$E$22,0)),"Proyecto sin valor hora. ","")&amp;IF(ISNA(MATCH(D11,Datos!$A$8:$A$22,0)),"Persona fuera del equipo. ","")))</f>
        <v/>
      </c>
      <c r="I11" s="21" t="n"/>
      <c r="J11" s="22" t="n"/>
      <c r="K11" s="23">
        <f>IF(G11="","",IF(J11&lt;&gt;"",MIN(J11,G11),IF(OR(I11="Observada",I11="Rechazada"),0,G11)))</f>
        <v/>
      </c>
      <c r="L11" s="24" t="n"/>
      <c r="M11" s="25">
        <f>IF(OR(A11="",D11=""),0,IF(COUNTIFS($A$2:A11,A11,$D$2:D11,D11)=1,1,0))</f>
        <v/>
      </c>
    </row>
    <row r="12">
      <c r="A12" s="26" t="n"/>
      <c r="B12" s="27" t="n"/>
      <c r="C12" s="27" t="n"/>
      <c r="D12" s="28" t="n"/>
      <c r="E12" s="28" t="n"/>
      <c r="F12" s="29" t="n"/>
      <c r="G12" s="30" t="n"/>
      <c r="H12" s="20">
        <f>IF(A12="","",TRIM(IF(WEEKDAY(A12,2)&gt;5,"Fin de semana. ","")&amp;IF(SUMIFS($G$2:$G$601,$A$2:$A$601,A12,$D$2:$D$601,D12)&gt;9,"Más de 9 h en el día. ","")&amp;IF(AND(B12&lt;&gt;"",C12&lt;&gt;"",C12&lt;B12),"Cruza la medianoche. ","")&amp;IF(LEN(TRIM(F12))&lt;15,"Sin descripción suficiente. ","")&amp;IF(AND(ISERROR(SEARCH("R-0",F12)),ISERROR(SEARCH("CU-",F12))),"Sin ticket. ","")&amp;IF(ISNA(MATCH(E12,Datos!$E$8:$E$22,0)),"Proyecto sin valor hora. ","")&amp;IF(ISNA(MATCH(D12,Datos!$A$8:$A$22,0)),"Persona fuera del equipo. ","")))</f>
        <v/>
      </c>
      <c r="I12" s="21" t="n"/>
      <c r="J12" s="22" t="n"/>
      <c r="K12" s="23">
        <f>IF(G12="","",IF(J12&lt;&gt;"",MIN(J12,G12),IF(OR(I12="Observada",I12="Rechazada"),0,G12)))</f>
        <v/>
      </c>
      <c r="L12" s="24" t="n"/>
      <c r="M12" s="25">
        <f>IF(OR(A12="",D12=""),0,IF(COUNTIFS($A$2:A12,A12,$D$2:D12,D12)=1,1,0))</f>
        <v/>
      </c>
    </row>
    <row r="13">
      <c r="A13" s="26" t="n"/>
      <c r="B13" s="27" t="n"/>
      <c r="C13" s="27" t="n"/>
      <c r="D13" s="28" t="n"/>
      <c r="E13" s="28" t="n"/>
      <c r="F13" s="29" t="n"/>
      <c r="G13" s="30" t="n"/>
      <c r="H13" s="20">
        <f>IF(A13="","",TRIM(IF(WEEKDAY(A13,2)&gt;5,"Fin de semana. ","")&amp;IF(SUMIFS($G$2:$G$601,$A$2:$A$601,A13,$D$2:$D$601,D13)&gt;9,"Más de 9 h en el día. ","")&amp;IF(AND(B13&lt;&gt;"",C13&lt;&gt;"",C13&lt;B13),"Cruza la medianoche. ","")&amp;IF(LEN(TRIM(F13))&lt;15,"Sin descripción suficiente. ","")&amp;IF(AND(ISERROR(SEARCH("R-0",F13)),ISERROR(SEARCH("CU-",F13))),"Sin ticket. ","")&amp;IF(ISNA(MATCH(E13,Datos!$E$8:$E$22,0)),"Proyecto sin valor hora. ","")&amp;IF(ISNA(MATCH(D13,Datos!$A$8:$A$22,0)),"Persona fuera del equipo. ","")))</f>
        <v/>
      </c>
      <c r="I13" s="21" t="n"/>
      <c r="J13" s="22" t="n"/>
      <c r="K13" s="23">
        <f>IF(G13="","",IF(J13&lt;&gt;"",MIN(J13,G13),IF(OR(I13="Observada",I13="Rechazada"),0,G13)))</f>
        <v/>
      </c>
      <c r="L13" s="24" t="n"/>
      <c r="M13" s="25">
        <f>IF(OR(A13="",D13=""),0,IF(COUNTIFS($A$2:A13,A13,$D$2:D13,D13)=1,1,0))</f>
        <v/>
      </c>
    </row>
    <row r="14">
      <c r="A14" s="26" t="n"/>
      <c r="B14" s="27" t="n"/>
      <c r="C14" s="27" t="n"/>
      <c r="D14" s="28" t="n"/>
      <c r="E14" s="28" t="n"/>
      <c r="F14" s="29" t="n"/>
      <c r="G14" s="30" t="n"/>
      <c r="H14" s="20">
        <f>IF(A14="","",TRIM(IF(WEEKDAY(A14,2)&gt;5,"Fin de semana. ","")&amp;IF(SUMIFS($G$2:$G$601,$A$2:$A$601,A14,$D$2:$D$601,D14)&gt;9,"Más de 9 h en el día. ","")&amp;IF(AND(B14&lt;&gt;"",C14&lt;&gt;"",C14&lt;B14),"Cruza la medianoche. ","")&amp;IF(LEN(TRIM(F14))&lt;15,"Sin descripción suficiente. ","")&amp;IF(AND(ISERROR(SEARCH("R-0",F14)),ISERROR(SEARCH("CU-",F14))),"Sin ticket. ","")&amp;IF(ISNA(MATCH(E14,Datos!$E$8:$E$22,0)),"Proyecto sin valor hora. ","")&amp;IF(ISNA(MATCH(D14,Datos!$A$8:$A$22,0)),"Persona fuera del equipo. ","")))</f>
        <v/>
      </c>
      <c r="I14" s="21" t="n"/>
      <c r="J14" s="22" t="n"/>
      <c r="K14" s="23">
        <f>IF(G14="","",IF(J14&lt;&gt;"",MIN(J14,G14),IF(OR(I14="Observada",I14="Rechazada"),0,G14)))</f>
        <v/>
      </c>
      <c r="L14" s="24" t="n"/>
      <c r="M14" s="25">
        <f>IF(OR(A14="",D14=""),0,IF(COUNTIFS($A$2:A14,A14,$D$2:D14,D14)=1,1,0))</f>
        <v/>
      </c>
    </row>
    <row r="15">
      <c r="A15" s="26" t="n"/>
      <c r="B15" s="27" t="n"/>
      <c r="C15" s="27" t="n"/>
      <c r="D15" s="28" t="n"/>
      <c r="E15" s="28" t="n"/>
      <c r="F15" s="29" t="n"/>
      <c r="G15" s="30" t="n"/>
      <c r="H15" s="20">
        <f>IF(A15="","",TRIM(IF(WEEKDAY(A15,2)&gt;5,"Fin de semana. ","")&amp;IF(SUMIFS($G$2:$G$601,$A$2:$A$601,A15,$D$2:$D$601,D15)&gt;9,"Más de 9 h en el día. ","")&amp;IF(AND(B15&lt;&gt;"",C15&lt;&gt;"",C15&lt;B15),"Cruza la medianoche. ","")&amp;IF(LEN(TRIM(F15))&lt;15,"Sin descripción suficiente. ","")&amp;IF(AND(ISERROR(SEARCH("R-0",F15)),ISERROR(SEARCH("CU-",F15))),"Sin ticket. ","")&amp;IF(ISNA(MATCH(E15,Datos!$E$8:$E$22,0)),"Proyecto sin valor hora. ","")&amp;IF(ISNA(MATCH(D15,Datos!$A$8:$A$22,0)),"Persona fuera del equipo. ","")))</f>
        <v/>
      </c>
      <c r="I15" s="21" t="n"/>
      <c r="J15" s="22" t="n"/>
      <c r="K15" s="23">
        <f>IF(G15="","",IF(J15&lt;&gt;"",MIN(J15,G15),IF(OR(I15="Observada",I15="Rechazada"),0,G15)))</f>
        <v/>
      </c>
      <c r="L15" s="24" t="n"/>
      <c r="M15" s="25">
        <f>IF(OR(A15="",D15=""),0,IF(COUNTIFS($A$2:A15,A15,$D$2:D15,D15)=1,1,0))</f>
        <v/>
      </c>
    </row>
    <row r="16">
      <c r="A16" s="26" t="n"/>
      <c r="B16" s="27" t="n"/>
      <c r="C16" s="27" t="n"/>
      <c r="D16" s="28" t="n"/>
      <c r="E16" s="28" t="n"/>
      <c r="F16" s="29" t="n"/>
      <c r="G16" s="30" t="n"/>
      <c r="H16" s="20">
        <f>IF(A16="","",TRIM(IF(WEEKDAY(A16,2)&gt;5,"Fin de semana. ","")&amp;IF(SUMIFS($G$2:$G$601,$A$2:$A$601,A16,$D$2:$D$601,D16)&gt;9,"Más de 9 h en el día. ","")&amp;IF(AND(B16&lt;&gt;"",C16&lt;&gt;"",C16&lt;B16),"Cruza la medianoche. ","")&amp;IF(LEN(TRIM(F16))&lt;15,"Sin descripción suficiente. ","")&amp;IF(AND(ISERROR(SEARCH("R-0",F16)),ISERROR(SEARCH("CU-",F16))),"Sin ticket. ","")&amp;IF(ISNA(MATCH(E16,Datos!$E$8:$E$22,0)),"Proyecto sin valor hora. ","")&amp;IF(ISNA(MATCH(D16,Datos!$A$8:$A$22,0)),"Persona fuera del equipo. ","")))</f>
        <v/>
      </c>
      <c r="I16" s="21" t="n"/>
      <c r="J16" s="22" t="n"/>
      <c r="K16" s="23">
        <f>IF(G16="","",IF(J16&lt;&gt;"",MIN(J16,G16),IF(OR(I16="Observada",I16="Rechazada"),0,G16)))</f>
        <v/>
      </c>
      <c r="L16" s="24" t="n"/>
      <c r="M16" s="25">
        <f>IF(OR(A16="",D16=""),0,IF(COUNTIFS($A$2:A16,A16,$D$2:D16,D16)=1,1,0))</f>
        <v/>
      </c>
    </row>
    <row r="17">
      <c r="A17" s="26" t="n"/>
      <c r="B17" s="27" t="n"/>
      <c r="C17" s="27" t="n"/>
      <c r="D17" s="28" t="n"/>
      <c r="E17" s="28" t="n"/>
      <c r="F17" s="29" t="n"/>
      <c r="G17" s="30" t="n"/>
      <c r="H17" s="20">
        <f>IF(A17="","",TRIM(IF(WEEKDAY(A17,2)&gt;5,"Fin de semana. ","")&amp;IF(SUMIFS($G$2:$G$601,$A$2:$A$601,A17,$D$2:$D$601,D17)&gt;9,"Más de 9 h en el día. ","")&amp;IF(AND(B17&lt;&gt;"",C17&lt;&gt;"",C17&lt;B17),"Cruza la medianoche. ","")&amp;IF(LEN(TRIM(F17))&lt;15,"Sin descripción suficiente. ","")&amp;IF(AND(ISERROR(SEARCH("R-0",F17)),ISERROR(SEARCH("CU-",F17))),"Sin ticket. ","")&amp;IF(ISNA(MATCH(E17,Datos!$E$8:$E$22,0)),"Proyecto sin valor hora. ","")&amp;IF(ISNA(MATCH(D17,Datos!$A$8:$A$22,0)),"Persona fuera del equipo. ","")))</f>
        <v/>
      </c>
      <c r="I17" s="21" t="n"/>
      <c r="J17" s="22" t="n"/>
      <c r="K17" s="23">
        <f>IF(G17="","",IF(J17&lt;&gt;"",MIN(J17,G17),IF(OR(I17="Observada",I17="Rechazada"),0,G17)))</f>
        <v/>
      </c>
      <c r="L17" s="24" t="n"/>
      <c r="M17" s="25">
        <f>IF(OR(A17="",D17=""),0,IF(COUNTIFS($A$2:A17,A17,$D$2:D17,D17)=1,1,0))</f>
        <v/>
      </c>
    </row>
    <row r="18">
      <c r="A18" s="26" t="n"/>
      <c r="B18" s="27" t="n"/>
      <c r="C18" s="27" t="n"/>
      <c r="D18" s="28" t="n"/>
      <c r="E18" s="28" t="n"/>
      <c r="F18" s="29" t="n"/>
      <c r="G18" s="30" t="n"/>
      <c r="H18" s="20">
        <f>IF(A18="","",TRIM(IF(WEEKDAY(A18,2)&gt;5,"Fin de semana. ","")&amp;IF(SUMIFS($G$2:$G$601,$A$2:$A$601,A18,$D$2:$D$601,D18)&gt;9,"Más de 9 h en el día. ","")&amp;IF(AND(B18&lt;&gt;"",C18&lt;&gt;"",C18&lt;B18),"Cruza la medianoche. ","")&amp;IF(LEN(TRIM(F18))&lt;15,"Sin descripción suficiente. ","")&amp;IF(AND(ISERROR(SEARCH("R-0",F18)),ISERROR(SEARCH("CU-",F18))),"Sin ticket. ","")&amp;IF(ISNA(MATCH(E18,Datos!$E$8:$E$22,0)),"Proyecto sin valor hora. ","")&amp;IF(ISNA(MATCH(D18,Datos!$A$8:$A$22,0)),"Persona fuera del equipo. ","")))</f>
        <v/>
      </c>
      <c r="I18" s="21" t="n"/>
      <c r="J18" s="22" t="n"/>
      <c r="K18" s="23">
        <f>IF(G18="","",IF(J18&lt;&gt;"",MIN(J18,G18),IF(OR(I18="Observada",I18="Rechazada"),0,G18)))</f>
        <v/>
      </c>
      <c r="L18" s="24" t="n"/>
      <c r="M18" s="25">
        <f>IF(OR(A18="",D18=""),0,IF(COUNTIFS($A$2:A18,A18,$D$2:D18,D18)=1,1,0))</f>
        <v/>
      </c>
    </row>
    <row r="19">
      <c r="A19" s="26" t="n"/>
      <c r="B19" s="27" t="n"/>
      <c r="C19" s="27" t="n"/>
      <c r="D19" s="28" t="n"/>
      <c r="E19" s="28" t="n"/>
      <c r="F19" s="29" t="n"/>
      <c r="G19" s="30" t="n"/>
      <c r="H19" s="20">
        <f>IF(A19="","",TRIM(IF(WEEKDAY(A19,2)&gt;5,"Fin de semana. ","")&amp;IF(SUMIFS($G$2:$G$601,$A$2:$A$601,A19,$D$2:$D$601,D19)&gt;9,"Más de 9 h en el día. ","")&amp;IF(AND(B19&lt;&gt;"",C19&lt;&gt;"",C19&lt;B19),"Cruza la medianoche. ","")&amp;IF(LEN(TRIM(F19))&lt;15,"Sin descripción suficiente. ","")&amp;IF(AND(ISERROR(SEARCH("R-0",F19)),ISERROR(SEARCH("CU-",F19))),"Sin ticket. ","")&amp;IF(ISNA(MATCH(E19,Datos!$E$8:$E$22,0)),"Proyecto sin valor hora. ","")&amp;IF(ISNA(MATCH(D19,Datos!$A$8:$A$22,0)),"Persona fuera del equipo. ","")))</f>
        <v/>
      </c>
      <c r="I19" s="21" t="n"/>
      <c r="J19" s="22" t="n"/>
      <c r="K19" s="23">
        <f>IF(G19="","",IF(J19&lt;&gt;"",MIN(J19,G19),IF(OR(I19="Observada",I19="Rechazada"),0,G19)))</f>
        <v/>
      </c>
      <c r="L19" s="24" t="n"/>
      <c r="M19" s="25">
        <f>IF(OR(A19="",D19=""),0,IF(COUNTIFS($A$2:A19,A19,$D$2:D19,D19)=1,1,0))</f>
        <v/>
      </c>
    </row>
    <row r="20">
      <c r="A20" s="26" t="n"/>
      <c r="B20" s="27" t="n"/>
      <c r="C20" s="27" t="n"/>
      <c r="D20" s="28" t="n"/>
      <c r="E20" s="28" t="n"/>
      <c r="F20" s="29" t="n"/>
      <c r="G20" s="30" t="n"/>
      <c r="H20" s="20">
        <f>IF(A20="","",TRIM(IF(WEEKDAY(A20,2)&gt;5,"Fin de semana. ","")&amp;IF(SUMIFS($G$2:$G$601,$A$2:$A$601,A20,$D$2:$D$601,D20)&gt;9,"Más de 9 h en el día. ","")&amp;IF(AND(B20&lt;&gt;"",C20&lt;&gt;"",C20&lt;B20),"Cruza la medianoche. ","")&amp;IF(LEN(TRIM(F20))&lt;15,"Sin descripción suficiente. ","")&amp;IF(AND(ISERROR(SEARCH("R-0",F20)),ISERROR(SEARCH("CU-",F20))),"Sin ticket. ","")&amp;IF(ISNA(MATCH(E20,Datos!$E$8:$E$22,0)),"Proyecto sin valor hora. ","")&amp;IF(ISNA(MATCH(D20,Datos!$A$8:$A$22,0)),"Persona fuera del equipo. ","")))</f>
        <v/>
      </c>
      <c r="I20" s="21" t="n"/>
      <c r="J20" s="22" t="n"/>
      <c r="K20" s="23">
        <f>IF(G20="","",IF(J20&lt;&gt;"",MIN(J20,G20),IF(OR(I20="Observada",I20="Rechazada"),0,G20)))</f>
        <v/>
      </c>
      <c r="L20" s="24" t="n"/>
      <c r="M20" s="25">
        <f>IF(OR(A20="",D20=""),0,IF(COUNTIFS($A$2:A20,A20,$D$2:D20,D20)=1,1,0))</f>
        <v/>
      </c>
    </row>
    <row r="21">
      <c r="A21" s="26" t="n"/>
      <c r="B21" s="27" t="n"/>
      <c r="C21" s="27" t="n"/>
      <c r="D21" s="28" t="n"/>
      <c r="E21" s="28" t="n"/>
      <c r="F21" s="29" t="n"/>
      <c r="G21" s="30" t="n"/>
      <c r="H21" s="20">
        <f>IF(A21="","",TRIM(IF(WEEKDAY(A21,2)&gt;5,"Fin de semana. ","")&amp;IF(SUMIFS($G$2:$G$601,$A$2:$A$601,A21,$D$2:$D$601,D21)&gt;9,"Más de 9 h en el día. ","")&amp;IF(AND(B21&lt;&gt;"",C21&lt;&gt;"",C21&lt;B21),"Cruza la medianoche. ","")&amp;IF(LEN(TRIM(F21))&lt;15,"Sin descripción suficiente. ","")&amp;IF(AND(ISERROR(SEARCH("R-0",F21)),ISERROR(SEARCH("CU-",F21))),"Sin ticket. ","")&amp;IF(ISNA(MATCH(E21,Datos!$E$8:$E$22,0)),"Proyecto sin valor hora. ","")&amp;IF(ISNA(MATCH(D21,Datos!$A$8:$A$22,0)),"Persona fuera del equipo. ","")))</f>
        <v/>
      </c>
      <c r="I21" s="21" t="n"/>
      <c r="J21" s="22" t="n"/>
      <c r="K21" s="23">
        <f>IF(G21="","",IF(J21&lt;&gt;"",MIN(J21,G21),IF(OR(I21="Observada",I21="Rechazada"),0,G21)))</f>
        <v/>
      </c>
      <c r="L21" s="24" t="n"/>
      <c r="M21" s="25">
        <f>IF(OR(A21="",D21=""),0,IF(COUNTIFS($A$2:A21,A21,$D$2:D21,D21)=1,1,0))</f>
        <v/>
      </c>
    </row>
    <row r="22">
      <c r="A22" s="26" t="n"/>
      <c r="B22" s="27" t="n"/>
      <c r="C22" s="27" t="n"/>
      <c r="D22" s="28" t="n"/>
      <c r="E22" s="28" t="n"/>
      <c r="F22" s="29" t="n"/>
      <c r="G22" s="30" t="n"/>
      <c r="H22" s="20">
        <f>IF(A22="","",TRIM(IF(WEEKDAY(A22,2)&gt;5,"Fin de semana. ","")&amp;IF(SUMIFS($G$2:$G$601,$A$2:$A$601,A22,$D$2:$D$601,D22)&gt;9,"Más de 9 h en el día. ","")&amp;IF(AND(B22&lt;&gt;"",C22&lt;&gt;"",C22&lt;B22),"Cruza la medianoche. ","")&amp;IF(LEN(TRIM(F22))&lt;15,"Sin descripción suficiente. ","")&amp;IF(AND(ISERROR(SEARCH("R-0",F22)),ISERROR(SEARCH("CU-",F22))),"Sin ticket. ","")&amp;IF(ISNA(MATCH(E22,Datos!$E$8:$E$22,0)),"Proyecto sin valor hora. ","")&amp;IF(ISNA(MATCH(D22,Datos!$A$8:$A$22,0)),"Persona fuera del equipo. ","")))</f>
        <v/>
      </c>
      <c r="I22" s="21" t="n"/>
      <c r="J22" s="22" t="n"/>
      <c r="K22" s="23">
        <f>IF(G22="","",IF(J22&lt;&gt;"",MIN(J22,G22),IF(OR(I22="Observada",I22="Rechazada"),0,G22)))</f>
        <v/>
      </c>
      <c r="L22" s="24" t="n"/>
      <c r="M22" s="25">
        <f>IF(OR(A22="",D22=""),0,IF(COUNTIFS($A$2:A22,A22,$D$2:D22,D22)=1,1,0))</f>
        <v/>
      </c>
    </row>
    <row r="23" ht="25.5" customHeight="1">
      <c r="A23" s="26" t="n"/>
      <c r="B23" s="27" t="n"/>
      <c r="C23" s="27" t="n"/>
      <c r="D23" s="28" t="n"/>
      <c r="E23" s="28" t="n"/>
      <c r="F23" s="29" t="n"/>
      <c r="G23" s="30" t="n"/>
      <c r="H23" s="20">
        <f>IF(A23="","",TRIM(IF(WEEKDAY(A23,2)&gt;5,"Fin de semana. ","")&amp;IF(SUMIFS($G$2:$G$601,$A$2:$A$601,A23,$D$2:$D$601,D23)&gt;9,"Más de 9 h en el día. ","")&amp;IF(AND(B23&lt;&gt;"",C23&lt;&gt;"",C23&lt;B23),"Cruza la medianoche. ","")&amp;IF(LEN(TRIM(F23))&lt;15,"Sin descripción suficiente. ","")&amp;IF(AND(ISERROR(SEARCH("R-0",F23)),ISERROR(SEARCH("CU-",F23))),"Sin ticket. ","")&amp;IF(ISNA(MATCH(E23,Datos!$E$8:$E$22,0)),"Proyecto sin valor hora. ","")&amp;IF(ISNA(MATCH(D23,Datos!$A$8:$A$22,0)),"Persona fuera del equipo. ","")))</f>
        <v/>
      </c>
      <c r="I23" s="21" t="n"/>
      <c r="J23" s="22" t="n"/>
      <c r="K23" s="23">
        <f>IF(G23="","",IF(J23&lt;&gt;"",MIN(J23,G23),IF(OR(I23="Observada",I23="Rechazada"),0,G23)))</f>
        <v/>
      </c>
      <c r="L23" s="24" t="n"/>
      <c r="M23" s="25">
        <f>IF(OR(A23="",D23=""),0,IF(COUNTIFS($A$2:A23,A23,$D$2:D23,D23)=1,1,0))</f>
        <v/>
      </c>
    </row>
    <row r="24">
      <c r="A24" s="26" t="n"/>
      <c r="B24" s="27" t="n"/>
      <c r="C24" s="27" t="n"/>
      <c r="D24" s="28" t="n"/>
      <c r="E24" s="28" t="n"/>
      <c r="F24" s="29" t="n"/>
      <c r="G24" s="30" t="n"/>
      <c r="H24" s="20">
        <f>IF(A24="","",TRIM(IF(WEEKDAY(A24,2)&gt;5,"Fin de semana. ","")&amp;IF(SUMIFS($G$2:$G$601,$A$2:$A$601,A24,$D$2:$D$601,D24)&gt;9,"Más de 9 h en el día. ","")&amp;IF(AND(B24&lt;&gt;"",C24&lt;&gt;"",C24&lt;B24),"Cruza la medianoche. ","")&amp;IF(LEN(TRIM(F24))&lt;15,"Sin descripción suficiente. ","")&amp;IF(AND(ISERROR(SEARCH("R-0",F24)),ISERROR(SEARCH("CU-",F24))),"Sin ticket. ","")&amp;IF(ISNA(MATCH(E24,Datos!$E$8:$E$22,0)),"Proyecto sin valor hora. ","")&amp;IF(ISNA(MATCH(D24,Datos!$A$8:$A$22,0)),"Persona fuera del equipo. ","")))</f>
        <v/>
      </c>
      <c r="I24" s="21" t="n"/>
      <c r="J24" s="22" t="n"/>
      <c r="K24" s="23">
        <f>IF(G24="","",IF(J24&lt;&gt;"",MIN(J24,G24),IF(OR(I24="Observada",I24="Rechazada"),0,G24)))</f>
        <v/>
      </c>
      <c r="L24" s="24" t="n"/>
      <c r="M24" s="25">
        <f>IF(OR(A24="",D24=""),0,IF(COUNTIFS($A$2:A24,A24,$D$2:D24,D24)=1,1,0))</f>
        <v/>
      </c>
    </row>
    <row r="25">
      <c r="A25" s="26" t="n"/>
      <c r="B25" s="27" t="n"/>
      <c r="C25" s="27" t="n"/>
      <c r="D25" s="28" t="n"/>
      <c r="E25" s="28" t="n"/>
      <c r="F25" s="29" t="n"/>
      <c r="G25" s="30" t="n"/>
      <c r="H25" s="20">
        <f>IF(A25="","",TRIM(IF(WEEKDAY(A25,2)&gt;5,"Fin de semana. ","")&amp;IF(SUMIFS($G$2:$G$601,$A$2:$A$601,A25,$D$2:$D$601,D25)&gt;9,"Más de 9 h en el día. ","")&amp;IF(AND(B25&lt;&gt;"",C25&lt;&gt;"",C25&lt;B25),"Cruza la medianoche. ","")&amp;IF(LEN(TRIM(F25))&lt;15,"Sin descripción suficiente. ","")&amp;IF(AND(ISERROR(SEARCH("R-0",F25)),ISERROR(SEARCH("CU-",F25))),"Sin ticket. ","")&amp;IF(ISNA(MATCH(E25,Datos!$E$8:$E$22,0)),"Proyecto sin valor hora. ","")&amp;IF(ISNA(MATCH(D25,Datos!$A$8:$A$22,0)),"Persona fuera del equipo. ","")))</f>
        <v/>
      </c>
      <c r="I25" s="21" t="n"/>
      <c r="J25" s="22" t="n"/>
      <c r="K25" s="23">
        <f>IF(G25="","",IF(J25&lt;&gt;"",MIN(J25,G25),IF(OR(I25="Observada",I25="Rechazada"),0,G25)))</f>
        <v/>
      </c>
      <c r="L25" s="24" t="n"/>
      <c r="M25" s="25">
        <f>IF(OR(A25="",D25=""),0,IF(COUNTIFS($A$2:A25,A25,$D$2:D25,D25)=1,1,0))</f>
        <v/>
      </c>
    </row>
    <row r="26">
      <c r="A26" s="26" t="n"/>
      <c r="B26" s="27" t="n"/>
      <c r="C26" s="27" t="n"/>
      <c r="D26" s="28" t="n"/>
      <c r="E26" s="28" t="n"/>
      <c r="F26" s="29" t="n"/>
      <c r="G26" s="30" t="n"/>
      <c r="H26" s="20">
        <f>IF(A26="","",TRIM(IF(WEEKDAY(A26,2)&gt;5,"Fin de semana. ","")&amp;IF(SUMIFS($G$2:$G$601,$A$2:$A$601,A26,$D$2:$D$601,D26)&gt;9,"Más de 9 h en el día. ","")&amp;IF(AND(B26&lt;&gt;"",C26&lt;&gt;"",C26&lt;B26),"Cruza la medianoche. ","")&amp;IF(LEN(TRIM(F26))&lt;15,"Sin descripción suficiente. ","")&amp;IF(AND(ISERROR(SEARCH("R-0",F26)),ISERROR(SEARCH("CU-",F26))),"Sin ticket. ","")&amp;IF(ISNA(MATCH(E26,Datos!$E$8:$E$22,0)),"Proyecto sin valor hora. ","")&amp;IF(ISNA(MATCH(D26,Datos!$A$8:$A$22,0)),"Persona fuera del equipo. ","")))</f>
        <v/>
      </c>
      <c r="I26" s="21" t="n"/>
      <c r="J26" s="22" t="n"/>
      <c r="K26" s="23">
        <f>IF(G26="","",IF(J26&lt;&gt;"",MIN(J26,G26),IF(OR(I26="Observada",I26="Rechazada"),0,G26)))</f>
        <v/>
      </c>
      <c r="L26" s="24" t="n"/>
      <c r="M26" s="25">
        <f>IF(OR(A26="",D26=""),0,IF(COUNTIFS($A$2:A26,A26,$D$2:D26,D26)=1,1,0))</f>
        <v/>
      </c>
    </row>
    <row r="27">
      <c r="A27" s="26" t="n"/>
      <c r="B27" s="27" t="n"/>
      <c r="C27" s="27" t="n"/>
      <c r="D27" s="28" t="n"/>
      <c r="E27" s="28" t="n"/>
      <c r="F27" s="29" t="n"/>
      <c r="G27" s="30" t="n"/>
      <c r="H27" s="20">
        <f>IF(A27="","",TRIM(IF(WEEKDAY(A27,2)&gt;5,"Fin de semana. ","")&amp;IF(SUMIFS($G$2:$G$601,$A$2:$A$601,A27,$D$2:$D$601,D27)&gt;9,"Más de 9 h en el día. ","")&amp;IF(AND(B27&lt;&gt;"",C27&lt;&gt;"",C27&lt;B27),"Cruza la medianoche. ","")&amp;IF(LEN(TRIM(F27))&lt;15,"Sin descripción suficiente. ","")&amp;IF(AND(ISERROR(SEARCH("R-0",F27)),ISERROR(SEARCH("CU-",F27))),"Sin ticket. ","")&amp;IF(ISNA(MATCH(E27,Datos!$E$8:$E$22,0)),"Proyecto sin valor hora. ","")&amp;IF(ISNA(MATCH(D27,Datos!$A$8:$A$22,0)),"Persona fuera del equipo. ","")))</f>
        <v/>
      </c>
      <c r="I27" s="21" t="n"/>
      <c r="J27" s="22" t="n"/>
      <c r="K27" s="23">
        <f>IF(G27="","",IF(J27&lt;&gt;"",MIN(J27,G27),IF(OR(I27="Observada",I27="Rechazada"),0,G27)))</f>
        <v/>
      </c>
      <c r="L27" s="24" t="n"/>
      <c r="M27" s="25">
        <f>IF(OR(A27="",D27=""),0,IF(COUNTIFS($A$2:A27,A27,$D$2:D27,D27)=1,1,0))</f>
        <v/>
      </c>
    </row>
    <row r="28" ht="25.5" customHeight="1">
      <c r="A28" s="26" t="n"/>
      <c r="B28" s="27" t="n"/>
      <c r="C28" s="27" t="n"/>
      <c r="D28" s="28" t="n"/>
      <c r="E28" s="28" t="n"/>
      <c r="F28" s="29" t="n"/>
      <c r="G28" s="30" t="n"/>
      <c r="H28" s="20">
        <f>IF(A28="","",TRIM(IF(WEEKDAY(A28,2)&gt;5,"Fin de semana. ","")&amp;IF(SUMIFS($G$2:$G$601,$A$2:$A$601,A28,$D$2:$D$601,D28)&gt;9,"Más de 9 h en el día. ","")&amp;IF(AND(B28&lt;&gt;"",C28&lt;&gt;"",C28&lt;B28),"Cruza la medianoche. ","")&amp;IF(LEN(TRIM(F28))&lt;15,"Sin descripción suficiente. ","")&amp;IF(AND(ISERROR(SEARCH("R-0",F28)),ISERROR(SEARCH("CU-",F28))),"Sin ticket. ","")&amp;IF(ISNA(MATCH(E28,Datos!$E$8:$E$22,0)),"Proyecto sin valor hora. ","")&amp;IF(ISNA(MATCH(D28,Datos!$A$8:$A$22,0)),"Persona fuera del equipo. ","")))</f>
        <v/>
      </c>
      <c r="I28" s="21" t="n"/>
      <c r="J28" s="22" t="n"/>
      <c r="K28" s="23">
        <f>IF(G28="","",IF(J28&lt;&gt;"",MIN(J28,G28),IF(OR(I28="Observada",I28="Rechazada"),0,G28)))</f>
        <v/>
      </c>
      <c r="L28" s="24" t="n"/>
      <c r="M28" s="25">
        <f>IF(OR(A28="",D28=""),0,IF(COUNTIFS($A$2:A28,A28,$D$2:D28,D28)=1,1,0))</f>
        <v/>
      </c>
    </row>
    <row r="29">
      <c r="A29" s="26" t="n"/>
      <c r="B29" s="27" t="n"/>
      <c r="C29" s="27" t="n"/>
      <c r="D29" s="28" t="n"/>
      <c r="E29" s="28" t="n"/>
      <c r="F29" s="29" t="n"/>
      <c r="G29" s="30" t="n"/>
      <c r="H29" s="20">
        <f>IF(A29="","",TRIM(IF(WEEKDAY(A29,2)&gt;5,"Fin de semana. ","")&amp;IF(SUMIFS($G$2:$G$601,$A$2:$A$601,A29,$D$2:$D$601,D29)&gt;9,"Más de 9 h en el día. ","")&amp;IF(AND(B29&lt;&gt;"",C29&lt;&gt;"",C29&lt;B29),"Cruza la medianoche. ","")&amp;IF(LEN(TRIM(F29))&lt;15,"Sin descripción suficiente. ","")&amp;IF(AND(ISERROR(SEARCH("R-0",F29)),ISERROR(SEARCH("CU-",F29))),"Sin ticket. ","")&amp;IF(ISNA(MATCH(E29,Datos!$E$8:$E$22,0)),"Proyecto sin valor hora. ","")&amp;IF(ISNA(MATCH(D29,Datos!$A$8:$A$22,0)),"Persona fuera del equipo. ","")))</f>
        <v/>
      </c>
      <c r="I29" s="21" t="n"/>
      <c r="J29" s="22" t="n"/>
      <c r="K29" s="23">
        <f>IF(G29="","",IF(J29&lt;&gt;"",MIN(J29,G29),IF(OR(I29="Observada",I29="Rechazada"),0,G29)))</f>
        <v/>
      </c>
      <c r="L29" s="24" t="n"/>
      <c r="M29" s="25">
        <f>IF(OR(A29="",D29=""),0,IF(COUNTIFS($A$2:A29,A29,$D$2:D29,D29)=1,1,0))</f>
        <v/>
      </c>
    </row>
    <row r="30">
      <c r="A30" s="26" t="n"/>
      <c r="B30" s="27" t="n"/>
      <c r="C30" s="27" t="n"/>
      <c r="D30" s="28" t="n"/>
      <c r="E30" s="28" t="n"/>
      <c r="F30" s="29" t="n"/>
      <c r="G30" s="30" t="n"/>
      <c r="H30" s="20">
        <f>IF(A30="","",TRIM(IF(WEEKDAY(A30,2)&gt;5,"Fin de semana. ","")&amp;IF(SUMIFS($G$2:$G$601,$A$2:$A$601,A30,$D$2:$D$601,D30)&gt;9,"Más de 9 h en el día. ","")&amp;IF(AND(B30&lt;&gt;"",C30&lt;&gt;"",C30&lt;B30),"Cruza la medianoche. ","")&amp;IF(LEN(TRIM(F30))&lt;15,"Sin descripción suficiente. ","")&amp;IF(AND(ISERROR(SEARCH("R-0",F30)),ISERROR(SEARCH("CU-",F30))),"Sin ticket. ","")&amp;IF(ISNA(MATCH(E30,Datos!$E$8:$E$22,0)),"Proyecto sin valor hora. ","")&amp;IF(ISNA(MATCH(D30,Datos!$A$8:$A$22,0)),"Persona fuera del equipo. ","")))</f>
        <v/>
      </c>
      <c r="I30" s="21" t="n"/>
      <c r="J30" s="22" t="n"/>
      <c r="K30" s="23">
        <f>IF(G30="","",IF(J30&lt;&gt;"",MIN(J30,G30),IF(OR(I30="Observada",I30="Rechazada"),0,G30)))</f>
        <v/>
      </c>
      <c r="L30" s="24" t="n"/>
      <c r="M30" s="25">
        <f>IF(OR(A30="",D30=""),0,IF(COUNTIFS($A$2:A30,A30,$D$2:D30,D30)=1,1,0))</f>
        <v/>
      </c>
    </row>
    <row r="31">
      <c r="A31" s="26" t="n"/>
      <c r="B31" s="27" t="n"/>
      <c r="C31" s="27" t="n"/>
      <c r="D31" s="28" t="n"/>
      <c r="E31" s="28" t="n"/>
      <c r="F31" s="29" t="n"/>
      <c r="G31" s="30" t="n"/>
      <c r="H31" s="20">
        <f>IF(A31="","",TRIM(IF(WEEKDAY(A31,2)&gt;5,"Fin de semana. ","")&amp;IF(SUMIFS($G$2:$G$601,$A$2:$A$601,A31,$D$2:$D$601,D31)&gt;9,"Más de 9 h en el día. ","")&amp;IF(AND(B31&lt;&gt;"",C31&lt;&gt;"",C31&lt;B31),"Cruza la medianoche. ","")&amp;IF(LEN(TRIM(F31))&lt;15,"Sin descripción suficiente. ","")&amp;IF(AND(ISERROR(SEARCH("R-0",F31)),ISERROR(SEARCH("CU-",F31))),"Sin ticket. ","")&amp;IF(ISNA(MATCH(E31,Datos!$E$8:$E$22,0)),"Proyecto sin valor hora. ","")&amp;IF(ISNA(MATCH(D31,Datos!$A$8:$A$22,0)),"Persona fuera del equipo. ","")))</f>
        <v/>
      </c>
      <c r="I31" s="21" t="n"/>
      <c r="J31" s="22" t="n"/>
      <c r="K31" s="23">
        <f>IF(G31="","",IF(J31&lt;&gt;"",MIN(J31,G31),IF(OR(I31="Observada",I31="Rechazada"),0,G31)))</f>
        <v/>
      </c>
      <c r="L31" s="24" t="n"/>
      <c r="M31" s="25">
        <f>IF(OR(A31="",D31=""),0,IF(COUNTIFS($A$2:A31,A31,$D$2:D31,D31)=1,1,0))</f>
        <v/>
      </c>
    </row>
    <row r="32">
      <c r="A32" s="26" t="n"/>
      <c r="B32" s="27" t="n"/>
      <c r="C32" s="27" t="n"/>
      <c r="D32" s="28" t="n"/>
      <c r="E32" s="28" t="n"/>
      <c r="F32" s="29" t="n"/>
      <c r="G32" s="30" t="n"/>
      <c r="H32" s="20">
        <f>IF(A32="","",TRIM(IF(WEEKDAY(A32,2)&gt;5,"Fin de semana. ","")&amp;IF(SUMIFS($G$2:$G$601,$A$2:$A$601,A32,$D$2:$D$601,D32)&gt;9,"Más de 9 h en el día. ","")&amp;IF(AND(B32&lt;&gt;"",C32&lt;&gt;"",C32&lt;B32),"Cruza la medianoche. ","")&amp;IF(LEN(TRIM(F32))&lt;15,"Sin descripción suficiente. ","")&amp;IF(AND(ISERROR(SEARCH("R-0",F32)),ISERROR(SEARCH("CU-",F32))),"Sin ticket. ","")&amp;IF(ISNA(MATCH(E32,Datos!$E$8:$E$22,0)),"Proyecto sin valor hora. ","")&amp;IF(ISNA(MATCH(D32,Datos!$A$8:$A$22,0)),"Persona fuera del equipo. ","")))</f>
        <v/>
      </c>
      <c r="I32" s="21" t="n"/>
      <c r="J32" s="22" t="n"/>
      <c r="K32" s="23">
        <f>IF(G32="","",IF(J32&lt;&gt;"",MIN(J32,G32),IF(OR(I32="Observada",I32="Rechazada"),0,G32)))</f>
        <v/>
      </c>
      <c r="L32" s="24" t="n"/>
      <c r="M32" s="25">
        <f>IF(OR(A32="",D32=""),0,IF(COUNTIFS($A$2:A32,A32,$D$2:D32,D32)=1,1,0))</f>
        <v/>
      </c>
    </row>
    <row r="33">
      <c r="A33" s="26" t="n"/>
      <c r="B33" s="27" t="n"/>
      <c r="C33" s="27" t="n"/>
      <c r="D33" s="28" t="n"/>
      <c r="E33" s="28" t="n"/>
      <c r="F33" s="29" t="n"/>
      <c r="G33" s="30" t="n"/>
      <c r="H33" s="20">
        <f>IF(A33="","",TRIM(IF(WEEKDAY(A33,2)&gt;5,"Fin de semana. ","")&amp;IF(SUMIFS($G$2:$G$601,$A$2:$A$601,A33,$D$2:$D$601,D33)&gt;9,"Más de 9 h en el día. ","")&amp;IF(AND(B33&lt;&gt;"",C33&lt;&gt;"",C33&lt;B33),"Cruza la medianoche. ","")&amp;IF(LEN(TRIM(F33))&lt;15,"Sin descripción suficiente. ","")&amp;IF(AND(ISERROR(SEARCH("R-0",F33)),ISERROR(SEARCH("CU-",F33))),"Sin ticket. ","")&amp;IF(ISNA(MATCH(E33,Datos!$E$8:$E$22,0)),"Proyecto sin valor hora. ","")&amp;IF(ISNA(MATCH(D33,Datos!$A$8:$A$22,0)),"Persona fuera del equipo. ","")))</f>
        <v/>
      </c>
      <c r="I33" s="21" t="n"/>
      <c r="J33" s="22" t="n"/>
      <c r="K33" s="23">
        <f>IF(G33="","",IF(J33&lt;&gt;"",MIN(J33,G33),IF(OR(I33="Observada",I33="Rechazada"),0,G33)))</f>
        <v/>
      </c>
      <c r="L33" s="24" t="n"/>
      <c r="M33" s="25">
        <f>IF(OR(A33="",D33=""),0,IF(COUNTIFS($A$2:A33,A33,$D$2:D33,D33)=1,1,0))</f>
        <v/>
      </c>
    </row>
    <row r="34">
      <c r="A34" s="26" t="n"/>
      <c r="B34" s="27" t="n"/>
      <c r="C34" s="27" t="n"/>
      <c r="D34" s="28" t="n"/>
      <c r="E34" s="28" t="n"/>
      <c r="F34" s="29" t="n"/>
      <c r="G34" s="30" t="n"/>
      <c r="H34" s="20">
        <f>IF(A34="","",TRIM(IF(WEEKDAY(A34,2)&gt;5,"Fin de semana. ","")&amp;IF(SUMIFS($G$2:$G$601,$A$2:$A$601,A34,$D$2:$D$601,D34)&gt;9,"Más de 9 h en el día. ","")&amp;IF(AND(B34&lt;&gt;"",C34&lt;&gt;"",C34&lt;B34),"Cruza la medianoche. ","")&amp;IF(LEN(TRIM(F34))&lt;15,"Sin descripción suficiente. ","")&amp;IF(AND(ISERROR(SEARCH("R-0",F34)),ISERROR(SEARCH("CU-",F34))),"Sin ticket. ","")&amp;IF(ISNA(MATCH(E34,Datos!$E$8:$E$22,0)),"Proyecto sin valor hora. ","")&amp;IF(ISNA(MATCH(D34,Datos!$A$8:$A$22,0)),"Persona fuera del equipo. ","")))</f>
        <v/>
      </c>
      <c r="I34" s="21" t="n"/>
      <c r="J34" s="22" t="n"/>
      <c r="K34" s="23">
        <f>IF(G34="","",IF(J34&lt;&gt;"",MIN(J34,G34),IF(OR(I34="Observada",I34="Rechazada"),0,G34)))</f>
        <v/>
      </c>
      <c r="L34" s="24" t="n"/>
      <c r="M34" s="25">
        <f>IF(OR(A34="",D34=""),0,IF(COUNTIFS($A$2:A34,A34,$D$2:D34,D34)=1,1,0))</f>
        <v/>
      </c>
    </row>
    <row r="35">
      <c r="A35" s="26" t="n"/>
      <c r="B35" s="27" t="n"/>
      <c r="C35" s="27" t="n"/>
      <c r="D35" s="28" t="n"/>
      <c r="E35" s="28" t="n"/>
      <c r="F35" s="29" t="n"/>
      <c r="G35" s="30" t="n"/>
      <c r="H35" s="20">
        <f>IF(A35="","",TRIM(IF(WEEKDAY(A35,2)&gt;5,"Fin de semana. ","")&amp;IF(SUMIFS($G$2:$G$601,$A$2:$A$601,A35,$D$2:$D$601,D35)&gt;9,"Más de 9 h en el día. ","")&amp;IF(AND(B35&lt;&gt;"",C35&lt;&gt;"",C35&lt;B35),"Cruza la medianoche. ","")&amp;IF(LEN(TRIM(F35))&lt;15,"Sin descripción suficiente. ","")&amp;IF(AND(ISERROR(SEARCH("R-0",F35)),ISERROR(SEARCH("CU-",F35))),"Sin ticket. ","")&amp;IF(ISNA(MATCH(E35,Datos!$E$8:$E$22,0)),"Proyecto sin valor hora. ","")&amp;IF(ISNA(MATCH(D35,Datos!$A$8:$A$22,0)),"Persona fuera del equipo. ","")))</f>
        <v/>
      </c>
      <c r="I35" s="21" t="n"/>
      <c r="J35" s="22" t="n"/>
      <c r="K35" s="23">
        <f>IF(G35="","",IF(J35&lt;&gt;"",MIN(J35,G35),IF(OR(I35="Observada",I35="Rechazada"),0,G35)))</f>
        <v/>
      </c>
      <c r="L35" s="24" t="n"/>
      <c r="M35" s="25">
        <f>IF(OR(A35="",D35=""),0,IF(COUNTIFS($A$2:A35,A35,$D$2:D35,D35)=1,1,0))</f>
        <v/>
      </c>
    </row>
    <row r="36">
      <c r="A36" s="26" t="n"/>
      <c r="B36" s="27" t="n"/>
      <c r="C36" s="27" t="n"/>
      <c r="D36" s="28" t="n"/>
      <c r="E36" s="28" t="n"/>
      <c r="F36" s="29" t="n"/>
      <c r="G36" s="30" t="n"/>
      <c r="H36" s="20">
        <f>IF(A36="","",TRIM(IF(WEEKDAY(A36,2)&gt;5,"Fin de semana. ","")&amp;IF(SUMIFS($G$2:$G$601,$A$2:$A$601,A36,$D$2:$D$601,D36)&gt;9,"Más de 9 h en el día. ","")&amp;IF(AND(B36&lt;&gt;"",C36&lt;&gt;"",C36&lt;B36),"Cruza la medianoche. ","")&amp;IF(LEN(TRIM(F36))&lt;15,"Sin descripción suficiente. ","")&amp;IF(AND(ISERROR(SEARCH("R-0",F36)),ISERROR(SEARCH("CU-",F36))),"Sin ticket. ","")&amp;IF(ISNA(MATCH(E36,Datos!$E$8:$E$22,0)),"Proyecto sin valor hora. ","")&amp;IF(ISNA(MATCH(D36,Datos!$A$8:$A$22,0)),"Persona fuera del equipo. ","")))</f>
        <v/>
      </c>
      <c r="I36" s="21" t="n"/>
      <c r="J36" s="22" t="n"/>
      <c r="K36" s="23">
        <f>IF(G36="","",IF(J36&lt;&gt;"",MIN(J36,G36),IF(OR(I36="Observada",I36="Rechazada"),0,G36)))</f>
        <v/>
      </c>
      <c r="L36" s="24" t="n"/>
      <c r="M36" s="25">
        <f>IF(OR(A36="",D36=""),0,IF(COUNTIFS($A$2:A36,A36,$D$2:D36,D36)=1,1,0))</f>
        <v/>
      </c>
    </row>
    <row r="37" ht="25.5" customHeight="1">
      <c r="A37" s="26" t="n"/>
      <c r="B37" s="27" t="n"/>
      <c r="C37" s="27" t="n"/>
      <c r="D37" s="28" t="n"/>
      <c r="E37" s="28" t="n"/>
      <c r="F37" s="29" t="n"/>
      <c r="G37" s="30" t="n"/>
      <c r="H37" s="20">
        <f>IF(A37="","",TRIM(IF(WEEKDAY(A37,2)&gt;5,"Fin de semana. ","")&amp;IF(SUMIFS($G$2:$G$601,$A$2:$A$601,A37,$D$2:$D$601,D37)&gt;9,"Más de 9 h en el día. ","")&amp;IF(AND(B37&lt;&gt;"",C37&lt;&gt;"",C37&lt;B37),"Cruza la medianoche. ","")&amp;IF(LEN(TRIM(F37))&lt;15,"Sin descripción suficiente. ","")&amp;IF(AND(ISERROR(SEARCH("R-0",F37)),ISERROR(SEARCH("CU-",F37))),"Sin ticket. ","")&amp;IF(ISNA(MATCH(E37,Datos!$E$8:$E$22,0)),"Proyecto sin valor hora. ","")&amp;IF(ISNA(MATCH(D37,Datos!$A$8:$A$22,0)),"Persona fuera del equipo. ","")))</f>
        <v/>
      </c>
      <c r="I37" s="21" t="n"/>
      <c r="J37" s="22" t="n"/>
      <c r="K37" s="23">
        <f>IF(G37="","",IF(J37&lt;&gt;"",MIN(J37,G37),IF(OR(I37="Observada",I37="Rechazada"),0,G37)))</f>
        <v/>
      </c>
      <c r="L37" s="24" t="n"/>
      <c r="M37" s="25">
        <f>IF(OR(A37="",D37=""),0,IF(COUNTIFS($A$2:A37,A37,$D$2:D37,D37)=1,1,0))</f>
        <v/>
      </c>
    </row>
    <row r="38">
      <c r="A38" s="26" t="n"/>
      <c r="B38" s="27" t="n"/>
      <c r="C38" s="27" t="n"/>
      <c r="D38" s="28" t="n"/>
      <c r="E38" s="28" t="n"/>
      <c r="F38" s="29" t="n"/>
      <c r="G38" s="30" t="n"/>
      <c r="H38" s="20">
        <f>IF(A38="","",TRIM(IF(WEEKDAY(A38,2)&gt;5,"Fin de semana. ","")&amp;IF(SUMIFS($G$2:$G$601,$A$2:$A$601,A38,$D$2:$D$601,D38)&gt;9,"Más de 9 h en el día. ","")&amp;IF(AND(B38&lt;&gt;"",C38&lt;&gt;"",C38&lt;B38),"Cruza la medianoche. ","")&amp;IF(LEN(TRIM(F38))&lt;15,"Sin descripción suficiente. ","")&amp;IF(AND(ISERROR(SEARCH("R-0",F38)),ISERROR(SEARCH("CU-",F38))),"Sin ticket. ","")&amp;IF(ISNA(MATCH(E38,Datos!$E$8:$E$22,0)),"Proyecto sin valor hora. ","")&amp;IF(ISNA(MATCH(D38,Datos!$A$8:$A$22,0)),"Persona fuera del equipo. ","")))</f>
        <v/>
      </c>
      <c r="I38" s="21" t="n"/>
      <c r="J38" s="22" t="n"/>
      <c r="K38" s="23">
        <f>IF(G38="","",IF(J38&lt;&gt;"",MIN(J38,G38),IF(OR(I38="Observada",I38="Rechazada"),0,G38)))</f>
        <v/>
      </c>
      <c r="L38" s="24" t="n"/>
      <c r="M38" s="25">
        <f>IF(OR(A38="",D38=""),0,IF(COUNTIFS($A$2:A38,A38,$D$2:D38,D38)=1,1,0))</f>
        <v/>
      </c>
    </row>
    <row r="39">
      <c r="A39" s="26" t="n"/>
      <c r="B39" s="27" t="n"/>
      <c r="C39" s="27" t="n"/>
      <c r="D39" s="28" t="n"/>
      <c r="E39" s="28" t="n"/>
      <c r="F39" s="29" t="n"/>
      <c r="G39" s="30" t="n"/>
      <c r="H39" s="20">
        <f>IF(A39="","",TRIM(IF(WEEKDAY(A39,2)&gt;5,"Fin de semana. ","")&amp;IF(SUMIFS($G$2:$G$601,$A$2:$A$601,A39,$D$2:$D$601,D39)&gt;9,"Más de 9 h en el día. ","")&amp;IF(AND(B39&lt;&gt;"",C39&lt;&gt;"",C39&lt;B39),"Cruza la medianoche. ","")&amp;IF(LEN(TRIM(F39))&lt;15,"Sin descripción suficiente. ","")&amp;IF(AND(ISERROR(SEARCH("R-0",F39)),ISERROR(SEARCH("CU-",F39))),"Sin ticket. ","")&amp;IF(ISNA(MATCH(E39,Datos!$E$8:$E$22,0)),"Proyecto sin valor hora. ","")&amp;IF(ISNA(MATCH(D39,Datos!$A$8:$A$22,0)),"Persona fuera del equipo. ","")))</f>
        <v/>
      </c>
      <c r="I39" s="21" t="n"/>
      <c r="J39" s="22" t="n"/>
      <c r="K39" s="23">
        <f>IF(G39="","",IF(J39&lt;&gt;"",MIN(J39,G39),IF(OR(I39="Observada",I39="Rechazada"),0,G39)))</f>
        <v/>
      </c>
      <c r="L39" s="24" t="n"/>
      <c r="M39" s="25">
        <f>IF(OR(A39="",D39=""),0,IF(COUNTIFS($A$2:A39,A39,$D$2:D39,D39)=1,1,0))</f>
        <v/>
      </c>
    </row>
    <row r="40">
      <c r="A40" s="26" t="n"/>
      <c r="B40" s="27" t="n"/>
      <c r="C40" s="27" t="n"/>
      <c r="D40" s="28" t="n"/>
      <c r="E40" s="28" t="n"/>
      <c r="F40" s="29" t="n"/>
      <c r="G40" s="30" t="n"/>
      <c r="H40" s="20">
        <f>IF(A40="","",TRIM(IF(WEEKDAY(A40,2)&gt;5,"Fin de semana. ","")&amp;IF(SUMIFS($G$2:$G$601,$A$2:$A$601,A40,$D$2:$D$601,D40)&gt;9,"Más de 9 h en el día. ","")&amp;IF(AND(B40&lt;&gt;"",C40&lt;&gt;"",C40&lt;B40),"Cruza la medianoche. ","")&amp;IF(LEN(TRIM(F40))&lt;15,"Sin descripción suficiente. ","")&amp;IF(AND(ISERROR(SEARCH("R-0",F40)),ISERROR(SEARCH("CU-",F40))),"Sin ticket. ","")&amp;IF(ISNA(MATCH(E40,Datos!$E$8:$E$22,0)),"Proyecto sin valor hora. ","")&amp;IF(ISNA(MATCH(D40,Datos!$A$8:$A$22,0)),"Persona fuera del equipo. ","")))</f>
        <v/>
      </c>
      <c r="I40" s="21" t="n"/>
      <c r="J40" s="22" t="n"/>
      <c r="K40" s="23">
        <f>IF(G40="","",IF(J40&lt;&gt;"",MIN(J40,G40),IF(OR(I40="Observada",I40="Rechazada"),0,G40)))</f>
        <v/>
      </c>
      <c r="L40" s="24" t="n"/>
      <c r="M40" s="25">
        <f>IF(OR(A40="",D40=""),0,IF(COUNTIFS($A$2:A40,A40,$D$2:D40,D40)=1,1,0))</f>
        <v/>
      </c>
    </row>
    <row r="41" ht="25.5" customHeight="1">
      <c r="A41" s="26" t="n"/>
      <c r="B41" s="27" t="n"/>
      <c r="C41" s="27" t="n"/>
      <c r="D41" s="28" t="n"/>
      <c r="E41" s="28" t="n"/>
      <c r="F41" s="29" t="n"/>
      <c r="G41" s="30" t="n"/>
      <c r="H41" s="20">
        <f>IF(A41="","",TRIM(IF(WEEKDAY(A41,2)&gt;5,"Fin de semana. ","")&amp;IF(SUMIFS($G$2:$G$601,$A$2:$A$601,A41,$D$2:$D$601,D41)&gt;9,"Más de 9 h en el día. ","")&amp;IF(AND(B41&lt;&gt;"",C41&lt;&gt;"",C41&lt;B41),"Cruza la medianoche. ","")&amp;IF(LEN(TRIM(F41))&lt;15,"Sin descripción suficiente. ","")&amp;IF(AND(ISERROR(SEARCH("R-0",F41)),ISERROR(SEARCH("CU-",F41))),"Sin ticket. ","")&amp;IF(ISNA(MATCH(E41,Datos!$E$8:$E$22,0)),"Proyecto sin valor hora. ","")&amp;IF(ISNA(MATCH(D41,Datos!$A$8:$A$22,0)),"Persona fuera del equipo. ","")))</f>
        <v/>
      </c>
      <c r="I41" s="21" t="n"/>
      <c r="J41" s="22" t="n"/>
      <c r="K41" s="23">
        <f>IF(G41="","",IF(J41&lt;&gt;"",MIN(J41,G41),IF(OR(I41="Observada",I41="Rechazada"),0,G41)))</f>
        <v/>
      </c>
      <c r="L41" s="24" t="n"/>
      <c r="M41" s="25">
        <f>IF(OR(A41="",D41=""),0,IF(COUNTIFS($A$2:A41,A41,$D$2:D41,D41)=1,1,0))</f>
        <v/>
      </c>
    </row>
    <row r="42" ht="25.5" customHeight="1">
      <c r="A42" s="26" t="n"/>
      <c r="B42" s="27" t="n"/>
      <c r="C42" s="27" t="n"/>
      <c r="D42" s="28" t="n"/>
      <c r="E42" s="28" t="n"/>
      <c r="F42" s="29" t="n"/>
      <c r="G42" s="30" t="n"/>
      <c r="H42" s="20">
        <f>IF(A42="","",TRIM(IF(WEEKDAY(A42,2)&gt;5,"Fin de semana. ","")&amp;IF(SUMIFS($G$2:$G$601,$A$2:$A$601,A42,$D$2:$D$601,D42)&gt;9,"Más de 9 h en el día. ","")&amp;IF(AND(B42&lt;&gt;"",C42&lt;&gt;"",C42&lt;B42),"Cruza la medianoche. ","")&amp;IF(LEN(TRIM(F42))&lt;15,"Sin descripción suficiente. ","")&amp;IF(AND(ISERROR(SEARCH("R-0",F42)),ISERROR(SEARCH("CU-",F42))),"Sin ticket. ","")&amp;IF(ISNA(MATCH(E42,Datos!$E$8:$E$22,0)),"Proyecto sin valor hora. ","")&amp;IF(ISNA(MATCH(D42,Datos!$A$8:$A$22,0)),"Persona fuera del equipo. ","")))</f>
        <v/>
      </c>
      <c r="I42" s="21" t="n"/>
      <c r="J42" s="22" t="n"/>
      <c r="K42" s="23">
        <f>IF(G42="","",IF(J42&lt;&gt;"",MIN(J42,G42),IF(OR(I42="Observada",I42="Rechazada"),0,G42)))</f>
        <v/>
      </c>
      <c r="L42" s="24" t="n"/>
      <c r="M42" s="25">
        <f>IF(OR(A42="",D42=""),0,IF(COUNTIFS($A$2:A42,A42,$D$2:D42,D42)=1,1,0))</f>
        <v/>
      </c>
    </row>
    <row r="43" ht="25.5" customHeight="1">
      <c r="A43" s="26" t="n"/>
      <c r="B43" s="27" t="n"/>
      <c r="C43" s="27" t="n"/>
      <c r="D43" s="28" t="n"/>
      <c r="E43" s="28" t="n"/>
      <c r="F43" s="29" t="n"/>
      <c r="G43" s="30" t="n"/>
      <c r="H43" s="20">
        <f>IF(A43="","",TRIM(IF(WEEKDAY(A43,2)&gt;5,"Fin de semana. ","")&amp;IF(SUMIFS($G$2:$G$601,$A$2:$A$601,A43,$D$2:$D$601,D43)&gt;9,"Más de 9 h en el día. ","")&amp;IF(AND(B43&lt;&gt;"",C43&lt;&gt;"",C43&lt;B43),"Cruza la medianoche. ","")&amp;IF(LEN(TRIM(F43))&lt;15,"Sin descripción suficiente. ","")&amp;IF(AND(ISERROR(SEARCH("R-0",F43)),ISERROR(SEARCH("CU-",F43))),"Sin ticket. ","")&amp;IF(ISNA(MATCH(E43,Datos!$E$8:$E$22,0)),"Proyecto sin valor hora. ","")&amp;IF(ISNA(MATCH(D43,Datos!$A$8:$A$22,0)),"Persona fuera del equipo. ","")))</f>
        <v/>
      </c>
      <c r="I43" s="21" t="n"/>
      <c r="J43" s="22" t="n"/>
      <c r="K43" s="23">
        <f>IF(G43="","",IF(J43&lt;&gt;"",MIN(J43,G43),IF(OR(I43="Observada",I43="Rechazada"),0,G43)))</f>
        <v/>
      </c>
      <c r="L43" s="24" t="n"/>
      <c r="M43" s="25">
        <f>IF(OR(A43="",D43=""),0,IF(COUNTIFS($A$2:A43,A43,$D$2:D43,D43)=1,1,0))</f>
        <v/>
      </c>
    </row>
    <row r="44" ht="25.5" customHeight="1">
      <c r="A44" s="26" t="n"/>
      <c r="B44" s="27" t="n"/>
      <c r="C44" s="27" t="n"/>
      <c r="D44" s="28" t="n"/>
      <c r="E44" s="28" t="n"/>
      <c r="F44" s="29" t="n"/>
      <c r="G44" s="30" t="n"/>
      <c r="H44" s="20">
        <f>IF(A44="","",TRIM(IF(WEEKDAY(A44,2)&gt;5,"Fin de semana. ","")&amp;IF(SUMIFS($G$2:$G$601,$A$2:$A$601,A44,$D$2:$D$601,D44)&gt;9,"Más de 9 h en el día. ","")&amp;IF(AND(B44&lt;&gt;"",C44&lt;&gt;"",C44&lt;B44),"Cruza la medianoche. ","")&amp;IF(LEN(TRIM(F44))&lt;15,"Sin descripción suficiente. ","")&amp;IF(AND(ISERROR(SEARCH("R-0",F44)),ISERROR(SEARCH("CU-",F44))),"Sin ticket. ","")&amp;IF(ISNA(MATCH(E44,Datos!$E$8:$E$22,0)),"Proyecto sin valor hora. ","")&amp;IF(ISNA(MATCH(D44,Datos!$A$8:$A$22,0)),"Persona fuera del equipo. ","")))</f>
        <v/>
      </c>
      <c r="I44" s="21" t="n"/>
      <c r="J44" s="22" t="n"/>
      <c r="K44" s="23">
        <f>IF(G44="","",IF(J44&lt;&gt;"",MIN(J44,G44),IF(OR(I44="Observada",I44="Rechazada"),0,G44)))</f>
        <v/>
      </c>
      <c r="L44" s="24" t="n"/>
      <c r="M44" s="25">
        <f>IF(OR(A44="",D44=""),0,IF(COUNTIFS($A$2:A44,A44,$D$2:D44,D44)=1,1,0))</f>
        <v/>
      </c>
    </row>
    <row r="45">
      <c r="A45" s="26" t="n"/>
      <c r="B45" s="27" t="n"/>
      <c r="C45" s="27" t="n"/>
      <c r="D45" s="28" t="n"/>
      <c r="E45" s="28" t="n"/>
      <c r="F45" s="29" t="n"/>
      <c r="G45" s="30" t="n"/>
      <c r="H45" s="20">
        <f>IF(A45="","",TRIM(IF(WEEKDAY(A45,2)&gt;5,"Fin de semana. ","")&amp;IF(SUMIFS($G$2:$G$601,$A$2:$A$601,A45,$D$2:$D$601,D45)&gt;9,"Más de 9 h en el día. ","")&amp;IF(AND(B45&lt;&gt;"",C45&lt;&gt;"",C45&lt;B45),"Cruza la medianoche. ","")&amp;IF(LEN(TRIM(F45))&lt;15,"Sin descripción suficiente. ","")&amp;IF(AND(ISERROR(SEARCH("R-0",F45)),ISERROR(SEARCH("CU-",F45))),"Sin ticket. ","")&amp;IF(ISNA(MATCH(E45,Datos!$E$8:$E$22,0)),"Proyecto sin valor hora. ","")&amp;IF(ISNA(MATCH(D45,Datos!$A$8:$A$22,0)),"Persona fuera del equipo. ","")))</f>
        <v/>
      </c>
      <c r="I45" s="21" t="n"/>
      <c r="J45" s="22" t="n"/>
      <c r="K45" s="23">
        <f>IF(G45="","",IF(J45&lt;&gt;"",MIN(J45,G45),IF(OR(I45="Observada",I45="Rechazada"),0,G45)))</f>
        <v/>
      </c>
      <c r="L45" s="24" t="n"/>
      <c r="M45" s="25">
        <f>IF(OR(A45="",D45=""),0,IF(COUNTIFS($A$2:A45,A45,$D$2:D45,D45)=1,1,0))</f>
        <v/>
      </c>
    </row>
    <row r="46" ht="25.5" customHeight="1">
      <c r="A46" s="26" t="n"/>
      <c r="B46" s="27" t="n"/>
      <c r="C46" s="27" t="n"/>
      <c r="D46" s="28" t="n"/>
      <c r="E46" s="28" t="n"/>
      <c r="F46" s="29" t="n"/>
      <c r="G46" s="30" t="n"/>
      <c r="H46" s="20">
        <f>IF(A46="","",TRIM(IF(WEEKDAY(A46,2)&gt;5,"Fin de semana. ","")&amp;IF(SUMIFS($G$2:$G$601,$A$2:$A$601,A46,$D$2:$D$601,D46)&gt;9,"Más de 9 h en el día. ","")&amp;IF(AND(B46&lt;&gt;"",C46&lt;&gt;"",C46&lt;B46),"Cruza la medianoche. ","")&amp;IF(LEN(TRIM(F46))&lt;15,"Sin descripción suficiente. ","")&amp;IF(AND(ISERROR(SEARCH("R-0",F46)),ISERROR(SEARCH("CU-",F46))),"Sin ticket. ","")&amp;IF(ISNA(MATCH(E46,Datos!$E$8:$E$22,0)),"Proyecto sin valor hora. ","")&amp;IF(ISNA(MATCH(D46,Datos!$A$8:$A$22,0)),"Persona fuera del equipo. ","")))</f>
        <v/>
      </c>
      <c r="I46" s="21" t="n"/>
      <c r="J46" s="22" t="n"/>
      <c r="K46" s="23">
        <f>IF(G46="","",IF(J46&lt;&gt;"",MIN(J46,G46),IF(OR(I46="Observada",I46="Rechazada"),0,G46)))</f>
        <v/>
      </c>
      <c r="L46" s="24" t="n"/>
      <c r="M46" s="25">
        <f>IF(OR(A46="",D46=""),0,IF(COUNTIFS($A$2:A46,A46,$D$2:D46,D46)=1,1,0))</f>
        <v/>
      </c>
    </row>
    <row r="47" ht="25.5" customHeight="1">
      <c r="A47" s="26" t="n"/>
      <c r="B47" s="27" t="n"/>
      <c r="C47" s="27" t="n"/>
      <c r="D47" s="28" t="n"/>
      <c r="E47" s="28" t="n"/>
      <c r="F47" s="29" t="n"/>
      <c r="G47" s="30" t="n"/>
      <c r="H47" s="20">
        <f>IF(A47="","",TRIM(IF(WEEKDAY(A47,2)&gt;5,"Fin de semana. ","")&amp;IF(SUMIFS($G$2:$G$601,$A$2:$A$601,A47,$D$2:$D$601,D47)&gt;9,"Más de 9 h en el día. ","")&amp;IF(AND(B47&lt;&gt;"",C47&lt;&gt;"",C47&lt;B47),"Cruza la medianoche. ","")&amp;IF(LEN(TRIM(F47))&lt;15,"Sin descripción suficiente. ","")&amp;IF(AND(ISERROR(SEARCH("R-0",F47)),ISERROR(SEARCH("CU-",F47))),"Sin ticket. ","")&amp;IF(ISNA(MATCH(E47,Datos!$E$8:$E$22,0)),"Proyecto sin valor hora. ","")&amp;IF(ISNA(MATCH(D47,Datos!$A$8:$A$22,0)),"Persona fuera del equipo. ","")))</f>
        <v/>
      </c>
      <c r="I47" s="21" t="n"/>
      <c r="J47" s="22" t="n"/>
      <c r="K47" s="23">
        <f>IF(G47="","",IF(J47&lt;&gt;"",MIN(J47,G47),IF(OR(I47="Observada",I47="Rechazada"),0,G47)))</f>
        <v/>
      </c>
      <c r="L47" s="24" t="n"/>
      <c r="M47" s="25">
        <f>IF(OR(A47="",D47=""),0,IF(COUNTIFS($A$2:A47,A47,$D$2:D47,D47)=1,1,0))</f>
        <v/>
      </c>
    </row>
    <row r="48">
      <c r="A48" s="26" t="n"/>
      <c r="B48" s="27" t="n"/>
      <c r="C48" s="27" t="n"/>
      <c r="D48" s="28" t="n"/>
      <c r="E48" s="28" t="n"/>
      <c r="F48" s="29" t="n"/>
      <c r="G48" s="30" t="n"/>
      <c r="H48" s="20">
        <f>IF(A48="","",TRIM(IF(WEEKDAY(A48,2)&gt;5,"Fin de semana. ","")&amp;IF(SUMIFS($G$2:$G$601,$A$2:$A$601,A48,$D$2:$D$601,D48)&gt;9,"Más de 9 h en el día. ","")&amp;IF(AND(B48&lt;&gt;"",C48&lt;&gt;"",C48&lt;B48),"Cruza la medianoche. ","")&amp;IF(LEN(TRIM(F48))&lt;15,"Sin descripción suficiente. ","")&amp;IF(AND(ISERROR(SEARCH("R-0",F48)),ISERROR(SEARCH("CU-",F48))),"Sin ticket. ","")&amp;IF(ISNA(MATCH(E48,Datos!$E$8:$E$22,0)),"Proyecto sin valor hora. ","")&amp;IF(ISNA(MATCH(D48,Datos!$A$8:$A$22,0)),"Persona fuera del equipo. ","")))</f>
        <v/>
      </c>
      <c r="I48" s="21" t="n"/>
      <c r="J48" s="22" t="n"/>
      <c r="K48" s="23">
        <f>IF(G48="","",IF(J48&lt;&gt;"",MIN(J48,G48),IF(OR(I48="Observada",I48="Rechazada"),0,G48)))</f>
        <v/>
      </c>
      <c r="L48" s="24" t="n"/>
      <c r="M48" s="25">
        <f>IF(OR(A48="",D48=""),0,IF(COUNTIFS($A$2:A48,A48,$D$2:D48,D48)=1,1,0))</f>
        <v/>
      </c>
    </row>
    <row r="49" ht="25.5" customHeight="1">
      <c r="A49" s="26" t="n"/>
      <c r="B49" s="27" t="n"/>
      <c r="C49" s="27" t="n"/>
      <c r="D49" s="28" t="n"/>
      <c r="E49" s="28" t="n"/>
      <c r="F49" s="29" t="n"/>
      <c r="G49" s="30" t="n"/>
      <c r="H49" s="20">
        <f>IF(A49="","",TRIM(IF(WEEKDAY(A49,2)&gt;5,"Fin de semana. ","")&amp;IF(SUMIFS($G$2:$G$601,$A$2:$A$601,A49,$D$2:$D$601,D49)&gt;9,"Más de 9 h en el día. ","")&amp;IF(AND(B49&lt;&gt;"",C49&lt;&gt;"",C49&lt;B49),"Cruza la medianoche. ","")&amp;IF(LEN(TRIM(F49))&lt;15,"Sin descripción suficiente. ","")&amp;IF(AND(ISERROR(SEARCH("R-0",F49)),ISERROR(SEARCH("CU-",F49))),"Sin ticket. ","")&amp;IF(ISNA(MATCH(E49,Datos!$E$8:$E$22,0)),"Proyecto sin valor hora. ","")&amp;IF(ISNA(MATCH(D49,Datos!$A$8:$A$22,0)),"Persona fuera del equipo. ","")))</f>
        <v/>
      </c>
      <c r="I49" s="21" t="n"/>
      <c r="J49" s="22" t="n"/>
      <c r="K49" s="23">
        <f>IF(G49="","",IF(J49&lt;&gt;"",MIN(J49,G49),IF(OR(I49="Observada",I49="Rechazada"),0,G49)))</f>
        <v/>
      </c>
      <c r="L49" s="24" t="n"/>
      <c r="M49" s="25">
        <f>IF(OR(A49="",D49=""),0,IF(COUNTIFS($A$2:A49,A49,$D$2:D49,D49)=1,1,0))</f>
        <v/>
      </c>
    </row>
    <row r="50" ht="25.5" customHeight="1">
      <c r="A50" s="26" t="n"/>
      <c r="B50" s="27" t="n"/>
      <c r="C50" s="27" t="n"/>
      <c r="D50" s="28" t="n"/>
      <c r="E50" s="28" t="n"/>
      <c r="F50" s="29" t="n"/>
      <c r="G50" s="30" t="n"/>
      <c r="H50" s="20">
        <f>IF(A50="","",TRIM(IF(WEEKDAY(A50,2)&gt;5,"Fin de semana. ","")&amp;IF(SUMIFS($G$2:$G$601,$A$2:$A$601,A50,$D$2:$D$601,D50)&gt;9,"Más de 9 h en el día. ","")&amp;IF(AND(B50&lt;&gt;"",C50&lt;&gt;"",C50&lt;B50),"Cruza la medianoche. ","")&amp;IF(LEN(TRIM(F50))&lt;15,"Sin descripción suficiente. ","")&amp;IF(AND(ISERROR(SEARCH("R-0",F50)),ISERROR(SEARCH("CU-",F50))),"Sin ticket. ","")&amp;IF(ISNA(MATCH(E50,Datos!$E$8:$E$22,0)),"Proyecto sin valor hora. ","")&amp;IF(ISNA(MATCH(D50,Datos!$A$8:$A$22,0)),"Persona fuera del equipo. ","")))</f>
        <v/>
      </c>
      <c r="I50" s="21" t="n"/>
      <c r="J50" s="22" t="n"/>
      <c r="K50" s="23">
        <f>IF(G50="","",IF(J50&lt;&gt;"",MIN(J50,G50),IF(OR(I50="Observada",I50="Rechazada"),0,G50)))</f>
        <v/>
      </c>
      <c r="L50" s="24" t="n"/>
      <c r="M50" s="25">
        <f>IF(OR(A50="",D50=""),0,IF(COUNTIFS($A$2:A50,A50,$D$2:D50,D50)=1,1,0))</f>
        <v/>
      </c>
    </row>
    <row r="51" ht="25.5" customHeight="1">
      <c r="A51" s="26" t="n"/>
      <c r="B51" s="27" t="n"/>
      <c r="C51" s="27" t="n"/>
      <c r="D51" s="28" t="n"/>
      <c r="E51" s="28" t="n"/>
      <c r="F51" s="29" t="n"/>
      <c r="G51" s="30" t="n"/>
      <c r="H51" s="20">
        <f>IF(A51="","",TRIM(IF(WEEKDAY(A51,2)&gt;5,"Fin de semana. ","")&amp;IF(SUMIFS($G$2:$G$601,$A$2:$A$601,A51,$D$2:$D$601,D51)&gt;9,"Más de 9 h en el día. ","")&amp;IF(AND(B51&lt;&gt;"",C51&lt;&gt;"",C51&lt;B51),"Cruza la medianoche. ","")&amp;IF(LEN(TRIM(F51))&lt;15,"Sin descripción suficiente. ","")&amp;IF(AND(ISERROR(SEARCH("R-0",F51)),ISERROR(SEARCH("CU-",F51))),"Sin ticket. ","")&amp;IF(ISNA(MATCH(E51,Datos!$E$8:$E$22,0)),"Proyecto sin valor hora. ","")&amp;IF(ISNA(MATCH(D51,Datos!$A$8:$A$22,0)),"Persona fuera del equipo. ","")))</f>
        <v/>
      </c>
      <c r="I51" s="21" t="n"/>
      <c r="J51" s="22" t="n"/>
      <c r="K51" s="23">
        <f>IF(G51="","",IF(J51&lt;&gt;"",MIN(J51,G51),IF(OR(I51="Observada",I51="Rechazada"),0,G51)))</f>
        <v/>
      </c>
      <c r="L51" s="24" t="n"/>
      <c r="M51" s="25">
        <f>IF(OR(A51="",D51=""),0,IF(COUNTIFS($A$2:A51,A51,$D$2:D51,D51)=1,1,0))</f>
        <v/>
      </c>
    </row>
    <row r="52">
      <c r="A52" s="26" t="n"/>
      <c r="B52" s="27" t="n"/>
      <c r="C52" s="27" t="n"/>
      <c r="D52" s="28" t="n"/>
      <c r="E52" s="28" t="n"/>
      <c r="F52" s="29" t="n"/>
      <c r="G52" s="30" t="n"/>
      <c r="H52" s="20">
        <f>IF(A52="","",TRIM(IF(WEEKDAY(A52,2)&gt;5,"Fin de semana. ","")&amp;IF(SUMIFS($G$2:$G$601,$A$2:$A$601,A52,$D$2:$D$601,D52)&gt;9,"Más de 9 h en el día. ","")&amp;IF(AND(B52&lt;&gt;"",C52&lt;&gt;"",C52&lt;B52),"Cruza la medianoche. ","")&amp;IF(LEN(TRIM(F52))&lt;15,"Sin descripción suficiente. ","")&amp;IF(AND(ISERROR(SEARCH("R-0",F52)),ISERROR(SEARCH("CU-",F52))),"Sin ticket. ","")&amp;IF(ISNA(MATCH(E52,Datos!$E$8:$E$22,0)),"Proyecto sin valor hora. ","")&amp;IF(ISNA(MATCH(D52,Datos!$A$8:$A$22,0)),"Persona fuera del equipo. ","")))</f>
        <v/>
      </c>
      <c r="I52" s="21" t="n"/>
      <c r="J52" s="22" t="n"/>
      <c r="K52" s="23">
        <f>IF(G52="","",IF(J52&lt;&gt;"",MIN(J52,G52),IF(OR(I52="Observada",I52="Rechazada"),0,G52)))</f>
        <v/>
      </c>
      <c r="L52" s="24" t="n"/>
      <c r="M52" s="25">
        <f>IF(OR(A52="",D52=""),0,IF(COUNTIFS($A$2:A52,A52,$D$2:D52,D52)=1,1,0))</f>
        <v/>
      </c>
    </row>
    <row r="53" ht="25.5" customHeight="1">
      <c r="A53" s="26" t="n"/>
      <c r="B53" s="27" t="n"/>
      <c r="C53" s="27" t="n"/>
      <c r="D53" s="28" t="n"/>
      <c r="E53" s="28" t="n"/>
      <c r="F53" s="29" t="n"/>
      <c r="G53" s="30" t="n"/>
      <c r="H53" s="20">
        <f>IF(A53="","",TRIM(IF(WEEKDAY(A53,2)&gt;5,"Fin de semana. ","")&amp;IF(SUMIFS($G$2:$G$601,$A$2:$A$601,A53,$D$2:$D$601,D53)&gt;9,"Más de 9 h en el día. ","")&amp;IF(AND(B53&lt;&gt;"",C53&lt;&gt;"",C53&lt;B53),"Cruza la medianoche. ","")&amp;IF(LEN(TRIM(F53))&lt;15,"Sin descripción suficiente. ","")&amp;IF(AND(ISERROR(SEARCH("R-0",F53)),ISERROR(SEARCH("CU-",F53))),"Sin ticket. ","")&amp;IF(ISNA(MATCH(E53,Datos!$E$8:$E$22,0)),"Proyecto sin valor hora. ","")&amp;IF(ISNA(MATCH(D53,Datos!$A$8:$A$22,0)),"Persona fuera del equipo. ","")))</f>
        <v/>
      </c>
      <c r="I53" s="21" t="n"/>
      <c r="J53" s="22" t="n"/>
      <c r="K53" s="23">
        <f>IF(G53="","",IF(J53&lt;&gt;"",MIN(J53,G53),IF(OR(I53="Observada",I53="Rechazada"),0,G53)))</f>
        <v/>
      </c>
      <c r="L53" s="24" t="n"/>
      <c r="M53" s="25">
        <f>IF(OR(A53="",D53=""),0,IF(COUNTIFS($A$2:A53,A53,$D$2:D53,D53)=1,1,0))</f>
        <v/>
      </c>
    </row>
    <row r="54">
      <c r="A54" s="26" t="n"/>
      <c r="B54" s="27" t="n"/>
      <c r="C54" s="27" t="n"/>
      <c r="D54" s="28" t="n"/>
      <c r="E54" s="28" t="n"/>
      <c r="F54" s="29" t="n"/>
      <c r="G54" s="30" t="n"/>
      <c r="H54" s="20">
        <f>IF(A54="","",TRIM(IF(WEEKDAY(A54,2)&gt;5,"Fin de semana. ","")&amp;IF(SUMIFS($G$2:$G$601,$A$2:$A$601,A54,$D$2:$D$601,D54)&gt;9,"Más de 9 h en el día. ","")&amp;IF(AND(B54&lt;&gt;"",C54&lt;&gt;"",C54&lt;B54),"Cruza la medianoche. ","")&amp;IF(LEN(TRIM(F54))&lt;15,"Sin descripción suficiente. ","")&amp;IF(AND(ISERROR(SEARCH("R-0",F54)),ISERROR(SEARCH("CU-",F54))),"Sin ticket. ","")&amp;IF(ISNA(MATCH(E54,Datos!$E$8:$E$22,0)),"Proyecto sin valor hora. ","")&amp;IF(ISNA(MATCH(D54,Datos!$A$8:$A$22,0)),"Persona fuera del equipo. ","")))</f>
        <v/>
      </c>
      <c r="I54" s="21" t="n"/>
      <c r="J54" s="22" t="n"/>
      <c r="K54" s="23">
        <f>IF(G54="","",IF(J54&lt;&gt;"",MIN(J54,G54),IF(OR(I54="Observada",I54="Rechazada"),0,G54)))</f>
        <v/>
      </c>
      <c r="L54" s="24" t="n"/>
      <c r="M54" s="25">
        <f>IF(OR(A54="",D54=""),0,IF(COUNTIFS($A$2:A54,A54,$D$2:D54,D54)=1,1,0))</f>
        <v/>
      </c>
    </row>
    <row r="55">
      <c r="A55" s="26" t="n"/>
      <c r="B55" s="27" t="n"/>
      <c r="C55" s="27" t="n"/>
      <c r="D55" s="28" t="n"/>
      <c r="E55" s="28" t="n"/>
      <c r="F55" s="29" t="n"/>
      <c r="G55" s="30" t="n"/>
      <c r="H55" s="20">
        <f>IF(A55="","",TRIM(IF(WEEKDAY(A55,2)&gt;5,"Fin de semana. ","")&amp;IF(SUMIFS($G$2:$G$601,$A$2:$A$601,A55,$D$2:$D$601,D55)&gt;9,"Más de 9 h en el día. ","")&amp;IF(AND(B55&lt;&gt;"",C55&lt;&gt;"",C55&lt;B55),"Cruza la medianoche. ","")&amp;IF(LEN(TRIM(F55))&lt;15,"Sin descripción suficiente. ","")&amp;IF(AND(ISERROR(SEARCH("R-0",F55)),ISERROR(SEARCH("CU-",F55))),"Sin ticket. ","")&amp;IF(ISNA(MATCH(E55,Datos!$E$8:$E$22,0)),"Proyecto sin valor hora. ","")&amp;IF(ISNA(MATCH(D55,Datos!$A$8:$A$22,0)),"Persona fuera del equipo. ","")))</f>
        <v/>
      </c>
      <c r="I55" s="21" t="n"/>
      <c r="J55" s="22" t="n"/>
      <c r="K55" s="23">
        <f>IF(G55="","",IF(J55&lt;&gt;"",MIN(J55,G55),IF(OR(I55="Observada",I55="Rechazada"),0,G55)))</f>
        <v/>
      </c>
      <c r="L55" s="24" t="n"/>
      <c r="M55" s="25">
        <f>IF(OR(A55="",D55=""),0,IF(COUNTIFS($A$2:A55,A55,$D$2:D55,D55)=1,1,0))</f>
        <v/>
      </c>
    </row>
    <row r="56">
      <c r="A56" s="26" t="n"/>
      <c r="B56" s="27" t="n"/>
      <c r="C56" s="27" t="n"/>
      <c r="D56" s="28" t="n"/>
      <c r="E56" s="28" t="n"/>
      <c r="F56" s="29" t="n"/>
      <c r="G56" s="30" t="n"/>
      <c r="H56" s="20">
        <f>IF(A56="","",TRIM(IF(WEEKDAY(A56,2)&gt;5,"Fin de semana. ","")&amp;IF(SUMIFS($G$2:$G$601,$A$2:$A$601,A56,$D$2:$D$601,D56)&gt;9,"Más de 9 h en el día. ","")&amp;IF(AND(B56&lt;&gt;"",C56&lt;&gt;"",C56&lt;B56),"Cruza la medianoche. ","")&amp;IF(LEN(TRIM(F56))&lt;15,"Sin descripción suficiente. ","")&amp;IF(AND(ISERROR(SEARCH("R-0",F56)),ISERROR(SEARCH("CU-",F56))),"Sin ticket. ","")&amp;IF(ISNA(MATCH(E56,Datos!$E$8:$E$22,0)),"Proyecto sin valor hora. ","")&amp;IF(ISNA(MATCH(D56,Datos!$A$8:$A$22,0)),"Persona fuera del equipo. ","")))</f>
        <v/>
      </c>
      <c r="I56" s="21" t="n"/>
      <c r="J56" s="22" t="n"/>
      <c r="K56" s="23">
        <f>IF(G56="","",IF(J56&lt;&gt;"",MIN(J56,G56),IF(OR(I56="Observada",I56="Rechazada"),0,G56)))</f>
        <v/>
      </c>
      <c r="L56" s="24" t="n"/>
      <c r="M56" s="25">
        <f>IF(OR(A56="",D56=""),0,IF(COUNTIFS($A$2:A56,A56,$D$2:D56,D56)=1,1,0))</f>
        <v/>
      </c>
    </row>
    <row r="57">
      <c r="A57" s="26" t="n"/>
      <c r="B57" s="27" t="n"/>
      <c r="C57" s="27" t="n"/>
      <c r="D57" s="28" t="n"/>
      <c r="E57" s="28" t="n"/>
      <c r="F57" s="29" t="n"/>
      <c r="G57" s="30" t="n"/>
      <c r="H57" s="20">
        <f>IF(A57="","",TRIM(IF(WEEKDAY(A57,2)&gt;5,"Fin de semana. ","")&amp;IF(SUMIFS($G$2:$G$601,$A$2:$A$601,A57,$D$2:$D$601,D57)&gt;9,"Más de 9 h en el día. ","")&amp;IF(AND(B57&lt;&gt;"",C57&lt;&gt;"",C57&lt;B57),"Cruza la medianoche. ","")&amp;IF(LEN(TRIM(F57))&lt;15,"Sin descripción suficiente. ","")&amp;IF(AND(ISERROR(SEARCH("R-0",F57)),ISERROR(SEARCH("CU-",F57))),"Sin ticket. ","")&amp;IF(ISNA(MATCH(E57,Datos!$E$8:$E$22,0)),"Proyecto sin valor hora. ","")&amp;IF(ISNA(MATCH(D57,Datos!$A$8:$A$22,0)),"Persona fuera del equipo. ","")))</f>
        <v/>
      </c>
      <c r="I57" s="21" t="n"/>
      <c r="J57" s="22" t="n"/>
      <c r="K57" s="23">
        <f>IF(G57="","",IF(J57&lt;&gt;"",MIN(J57,G57),IF(OR(I57="Observada",I57="Rechazada"),0,G57)))</f>
        <v/>
      </c>
      <c r="L57" s="24" t="n"/>
      <c r="M57" s="25">
        <f>IF(OR(A57="",D57=""),0,IF(COUNTIFS($A$2:A57,A57,$D$2:D57,D57)=1,1,0))</f>
        <v/>
      </c>
    </row>
    <row r="58">
      <c r="A58" s="26" t="n"/>
      <c r="B58" s="27" t="n"/>
      <c r="C58" s="27" t="n"/>
      <c r="D58" s="28" t="n"/>
      <c r="E58" s="28" t="n"/>
      <c r="F58" s="29" t="n"/>
      <c r="G58" s="30" t="n"/>
      <c r="H58" s="20">
        <f>IF(A58="","",TRIM(IF(WEEKDAY(A58,2)&gt;5,"Fin de semana. ","")&amp;IF(SUMIFS($G$2:$G$601,$A$2:$A$601,A58,$D$2:$D$601,D58)&gt;9,"Más de 9 h en el día. ","")&amp;IF(AND(B58&lt;&gt;"",C58&lt;&gt;"",C58&lt;B58),"Cruza la medianoche. ","")&amp;IF(LEN(TRIM(F58))&lt;15,"Sin descripción suficiente. ","")&amp;IF(AND(ISERROR(SEARCH("R-0",F58)),ISERROR(SEARCH("CU-",F58))),"Sin ticket. ","")&amp;IF(ISNA(MATCH(E58,Datos!$E$8:$E$22,0)),"Proyecto sin valor hora. ","")&amp;IF(ISNA(MATCH(D58,Datos!$A$8:$A$22,0)),"Persona fuera del equipo. ","")))</f>
        <v/>
      </c>
      <c r="I58" s="21" t="n"/>
      <c r="J58" s="22" t="n"/>
      <c r="K58" s="23">
        <f>IF(G58="","",IF(J58&lt;&gt;"",MIN(J58,G58),IF(OR(I58="Observada",I58="Rechazada"),0,G58)))</f>
        <v/>
      </c>
      <c r="L58" s="24" t="n"/>
      <c r="M58" s="25">
        <f>IF(OR(A58="",D58=""),0,IF(COUNTIFS($A$2:A58,A58,$D$2:D58,D58)=1,1,0))</f>
        <v/>
      </c>
    </row>
    <row r="59">
      <c r="A59" s="26" t="n"/>
      <c r="B59" s="27" t="n"/>
      <c r="C59" s="27" t="n"/>
      <c r="D59" s="28" t="n"/>
      <c r="E59" s="28" t="n"/>
      <c r="F59" s="29" t="n"/>
      <c r="G59" s="30" t="n"/>
      <c r="H59" s="20">
        <f>IF(A59="","",TRIM(IF(WEEKDAY(A59,2)&gt;5,"Fin de semana. ","")&amp;IF(SUMIFS($G$2:$G$601,$A$2:$A$601,A59,$D$2:$D$601,D59)&gt;9,"Más de 9 h en el día. ","")&amp;IF(AND(B59&lt;&gt;"",C59&lt;&gt;"",C59&lt;B59),"Cruza la medianoche. ","")&amp;IF(LEN(TRIM(F59))&lt;15,"Sin descripción suficiente. ","")&amp;IF(AND(ISERROR(SEARCH("R-0",F59)),ISERROR(SEARCH("CU-",F59))),"Sin ticket. ","")&amp;IF(ISNA(MATCH(E59,Datos!$E$8:$E$22,0)),"Proyecto sin valor hora. ","")&amp;IF(ISNA(MATCH(D59,Datos!$A$8:$A$22,0)),"Persona fuera del equipo. ","")))</f>
        <v/>
      </c>
      <c r="I59" s="21" t="n"/>
      <c r="J59" s="22" t="n"/>
      <c r="K59" s="23">
        <f>IF(G59="","",IF(J59&lt;&gt;"",MIN(J59,G59),IF(OR(I59="Observada",I59="Rechazada"),0,G59)))</f>
        <v/>
      </c>
      <c r="L59" s="24" t="n"/>
      <c r="M59" s="25">
        <f>IF(OR(A59="",D59=""),0,IF(COUNTIFS($A$2:A59,A59,$D$2:D59,D59)=1,1,0))</f>
        <v/>
      </c>
    </row>
    <row r="60">
      <c r="A60" s="26" t="n"/>
      <c r="B60" s="27" t="n"/>
      <c r="C60" s="27" t="n"/>
      <c r="D60" s="28" t="n"/>
      <c r="E60" s="28" t="n"/>
      <c r="F60" s="29" t="n"/>
      <c r="G60" s="30" t="n"/>
      <c r="H60" s="20">
        <f>IF(A60="","",TRIM(IF(WEEKDAY(A60,2)&gt;5,"Fin de semana. ","")&amp;IF(SUMIFS($G$2:$G$601,$A$2:$A$601,A60,$D$2:$D$601,D60)&gt;9,"Más de 9 h en el día. ","")&amp;IF(AND(B60&lt;&gt;"",C60&lt;&gt;"",C60&lt;B60),"Cruza la medianoche. ","")&amp;IF(LEN(TRIM(F60))&lt;15,"Sin descripción suficiente. ","")&amp;IF(AND(ISERROR(SEARCH("R-0",F60)),ISERROR(SEARCH("CU-",F60))),"Sin ticket. ","")&amp;IF(ISNA(MATCH(E60,Datos!$E$8:$E$22,0)),"Proyecto sin valor hora. ","")&amp;IF(ISNA(MATCH(D60,Datos!$A$8:$A$22,0)),"Persona fuera del equipo. ","")))</f>
        <v/>
      </c>
      <c r="I60" s="21" t="n"/>
      <c r="J60" s="22" t="n"/>
      <c r="K60" s="23">
        <f>IF(G60="","",IF(J60&lt;&gt;"",MIN(J60,G60),IF(OR(I60="Observada",I60="Rechazada"),0,G60)))</f>
        <v/>
      </c>
      <c r="L60" s="24" t="n"/>
      <c r="M60" s="25">
        <f>IF(OR(A60="",D60=""),0,IF(COUNTIFS($A$2:A60,A60,$D$2:D60,D60)=1,1,0))</f>
        <v/>
      </c>
    </row>
    <row r="61">
      <c r="A61" s="26" t="n"/>
      <c r="B61" s="27" t="n"/>
      <c r="C61" s="27" t="n"/>
      <c r="D61" s="28" t="n"/>
      <c r="E61" s="28" t="n"/>
      <c r="F61" s="29" t="n"/>
      <c r="G61" s="30" t="n"/>
      <c r="H61" s="20">
        <f>IF(A61="","",TRIM(IF(WEEKDAY(A61,2)&gt;5,"Fin de semana. ","")&amp;IF(SUMIFS($G$2:$G$601,$A$2:$A$601,A61,$D$2:$D$601,D61)&gt;9,"Más de 9 h en el día. ","")&amp;IF(AND(B61&lt;&gt;"",C61&lt;&gt;"",C61&lt;B61),"Cruza la medianoche. ","")&amp;IF(LEN(TRIM(F61))&lt;15,"Sin descripción suficiente. ","")&amp;IF(AND(ISERROR(SEARCH("R-0",F61)),ISERROR(SEARCH("CU-",F61))),"Sin ticket. ","")&amp;IF(ISNA(MATCH(E61,Datos!$E$8:$E$22,0)),"Proyecto sin valor hora. ","")&amp;IF(ISNA(MATCH(D61,Datos!$A$8:$A$22,0)),"Persona fuera del equipo. ","")))</f>
        <v/>
      </c>
      <c r="I61" s="21" t="n"/>
      <c r="J61" s="22" t="n"/>
      <c r="K61" s="23">
        <f>IF(G61="","",IF(J61&lt;&gt;"",MIN(J61,G61),IF(OR(I61="Observada",I61="Rechazada"),0,G61)))</f>
        <v/>
      </c>
      <c r="L61" s="24" t="n"/>
      <c r="M61" s="25">
        <f>IF(OR(A61="",D61=""),0,IF(COUNTIFS($A$2:A61,A61,$D$2:D61,D61)=1,1,0))</f>
        <v/>
      </c>
    </row>
    <row r="62">
      <c r="A62" s="26" t="n"/>
      <c r="B62" s="27" t="n"/>
      <c r="C62" s="27" t="n"/>
      <c r="D62" s="28" t="n"/>
      <c r="E62" s="28" t="n"/>
      <c r="F62" s="29" t="n"/>
      <c r="G62" s="30" t="n"/>
      <c r="H62" s="20">
        <f>IF(A62="","",TRIM(IF(WEEKDAY(A62,2)&gt;5,"Fin de semana. ","")&amp;IF(SUMIFS($G$2:$G$601,$A$2:$A$601,A62,$D$2:$D$601,D62)&gt;9,"Más de 9 h en el día. ","")&amp;IF(AND(B62&lt;&gt;"",C62&lt;&gt;"",C62&lt;B62),"Cruza la medianoche. ","")&amp;IF(LEN(TRIM(F62))&lt;15,"Sin descripción suficiente. ","")&amp;IF(AND(ISERROR(SEARCH("R-0",F62)),ISERROR(SEARCH("CU-",F62))),"Sin ticket. ","")&amp;IF(ISNA(MATCH(E62,Datos!$E$8:$E$22,0)),"Proyecto sin valor hora. ","")&amp;IF(ISNA(MATCH(D62,Datos!$A$8:$A$22,0)),"Persona fuera del equipo. ","")))</f>
        <v/>
      </c>
      <c r="I62" s="21" t="n"/>
      <c r="J62" s="22" t="n"/>
      <c r="K62" s="23">
        <f>IF(G62="","",IF(J62&lt;&gt;"",MIN(J62,G62),IF(OR(I62="Observada",I62="Rechazada"),0,G62)))</f>
        <v/>
      </c>
      <c r="L62" s="24" t="n"/>
      <c r="M62" s="25">
        <f>IF(OR(A62="",D62=""),0,IF(COUNTIFS($A$2:A62,A62,$D$2:D62,D62)=1,1,0))</f>
        <v/>
      </c>
    </row>
    <row r="63" ht="25.5" customHeight="1">
      <c r="A63" s="26" t="n"/>
      <c r="B63" s="27" t="n"/>
      <c r="C63" s="27" t="n"/>
      <c r="D63" s="28" t="n"/>
      <c r="E63" s="28" t="n"/>
      <c r="F63" s="29" t="n"/>
      <c r="G63" s="30" t="n"/>
      <c r="H63" s="20">
        <f>IF(A63="","",TRIM(IF(WEEKDAY(A63,2)&gt;5,"Fin de semana. ","")&amp;IF(SUMIFS($G$2:$G$601,$A$2:$A$601,A63,$D$2:$D$601,D63)&gt;9,"Más de 9 h en el día. ","")&amp;IF(AND(B63&lt;&gt;"",C63&lt;&gt;"",C63&lt;B63),"Cruza la medianoche. ","")&amp;IF(LEN(TRIM(F63))&lt;15,"Sin descripción suficiente. ","")&amp;IF(AND(ISERROR(SEARCH("R-0",F63)),ISERROR(SEARCH("CU-",F63))),"Sin ticket. ","")&amp;IF(ISNA(MATCH(E63,Datos!$E$8:$E$22,0)),"Proyecto sin valor hora. ","")&amp;IF(ISNA(MATCH(D63,Datos!$A$8:$A$22,0)),"Persona fuera del equipo. ","")))</f>
        <v/>
      </c>
      <c r="I63" s="21" t="n"/>
      <c r="J63" s="22" t="n"/>
      <c r="K63" s="23">
        <f>IF(G63="","",IF(J63&lt;&gt;"",MIN(J63,G63),IF(OR(I63="Observada",I63="Rechazada"),0,G63)))</f>
        <v/>
      </c>
      <c r="L63" s="24" t="n"/>
      <c r="M63" s="25">
        <f>IF(OR(A63="",D63=""),0,IF(COUNTIFS($A$2:A63,A63,$D$2:D63,D63)=1,1,0))</f>
        <v/>
      </c>
    </row>
    <row r="64">
      <c r="A64" s="26" t="n"/>
      <c r="B64" s="27" t="n"/>
      <c r="C64" s="27" t="n"/>
      <c r="D64" s="28" t="n"/>
      <c r="E64" s="28" t="n"/>
      <c r="F64" s="29" t="n"/>
      <c r="G64" s="30" t="n"/>
      <c r="H64" s="20">
        <f>IF(A64="","",TRIM(IF(WEEKDAY(A64,2)&gt;5,"Fin de semana. ","")&amp;IF(SUMIFS($G$2:$G$601,$A$2:$A$601,A64,$D$2:$D$601,D64)&gt;9,"Más de 9 h en el día. ","")&amp;IF(AND(B64&lt;&gt;"",C64&lt;&gt;"",C64&lt;B64),"Cruza la medianoche. ","")&amp;IF(LEN(TRIM(F64))&lt;15,"Sin descripción suficiente. ","")&amp;IF(AND(ISERROR(SEARCH("R-0",F64)),ISERROR(SEARCH("CU-",F64))),"Sin ticket. ","")&amp;IF(ISNA(MATCH(E64,Datos!$E$8:$E$22,0)),"Proyecto sin valor hora. ","")&amp;IF(ISNA(MATCH(D64,Datos!$A$8:$A$22,0)),"Persona fuera del equipo. ","")))</f>
        <v/>
      </c>
      <c r="I64" s="21" t="n"/>
      <c r="J64" s="22" t="n"/>
      <c r="K64" s="23">
        <f>IF(G64="","",IF(J64&lt;&gt;"",MIN(J64,G64),IF(OR(I64="Observada",I64="Rechazada"),0,G64)))</f>
        <v/>
      </c>
      <c r="L64" s="24" t="n"/>
      <c r="M64" s="25">
        <f>IF(OR(A64="",D64=""),0,IF(COUNTIFS($A$2:A64,A64,$D$2:D64,D64)=1,1,0))</f>
        <v/>
      </c>
    </row>
    <row r="65">
      <c r="A65" s="26" t="n"/>
      <c r="B65" s="27" t="n"/>
      <c r="C65" s="27" t="n"/>
      <c r="D65" s="28" t="n"/>
      <c r="E65" s="28" t="n"/>
      <c r="F65" s="29" t="n"/>
      <c r="G65" s="30" t="n"/>
      <c r="H65" s="20">
        <f>IF(A65="","",TRIM(IF(WEEKDAY(A65,2)&gt;5,"Fin de semana. ","")&amp;IF(SUMIFS($G$2:$G$601,$A$2:$A$601,A65,$D$2:$D$601,D65)&gt;9,"Más de 9 h en el día. ","")&amp;IF(AND(B65&lt;&gt;"",C65&lt;&gt;"",C65&lt;B65),"Cruza la medianoche. ","")&amp;IF(LEN(TRIM(F65))&lt;15,"Sin descripción suficiente. ","")&amp;IF(AND(ISERROR(SEARCH("R-0",F65)),ISERROR(SEARCH("CU-",F65))),"Sin ticket. ","")&amp;IF(ISNA(MATCH(E65,Datos!$E$8:$E$22,0)),"Proyecto sin valor hora. ","")&amp;IF(ISNA(MATCH(D65,Datos!$A$8:$A$22,0)),"Persona fuera del equipo. ","")))</f>
        <v/>
      </c>
      <c r="I65" s="21" t="n"/>
      <c r="J65" s="22" t="n"/>
      <c r="K65" s="23">
        <f>IF(G65="","",IF(J65&lt;&gt;"",MIN(J65,G65),IF(OR(I65="Observada",I65="Rechazada"),0,G65)))</f>
        <v/>
      </c>
      <c r="L65" s="24" t="n"/>
      <c r="M65" s="25">
        <f>IF(OR(A65="",D65=""),0,IF(COUNTIFS($A$2:A65,A65,$D$2:D65,D65)=1,1,0))</f>
        <v/>
      </c>
    </row>
    <row r="66">
      <c r="A66" s="26" t="n"/>
      <c r="B66" s="27" t="n"/>
      <c r="C66" s="27" t="n"/>
      <c r="D66" s="28" t="n"/>
      <c r="E66" s="28" t="n"/>
      <c r="F66" s="29" t="n"/>
      <c r="G66" s="30" t="n"/>
      <c r="H66" s="20">
        <f>IF(A66="","",TRIM(IF(WEEKDAY(A66,2)&gt;5,"Fin de semana. ","")&amp;IF(SUMIFS($G$2:$G$601,$A$2:$A$601,A66,$D$2:$D$601,D66)&gt;9,"Más de 9 h en el día. ","")&amp;IF(AND(B66&lt;&gt;"",C66&lt;&gt;"",C66&lt;B66),"Cruza la medianoche. ","")&amp;IF(LEN(TRIM(F66))&lt;15,"Sin descripción suficiente. ","")&amp;IF(AND(ISERROR(SEARCH("R-0",F66)),ISERROR(SEARCH("CU-",F66))),"Sin ticket. ","")&amp;IF(ISNA(MATCH(E66,Datos!$E$8:$E$22,0)),"Proyecto sin valor hora. ","")&amp;IF(ISNA(MATCH(D66,Datos!$A$8:$A$22,0)),"Persona fuera del equipo. ","")))</f>
        <v/>
      </c>
      <c r="I66" s="21" t="n"/>
      <c r="J66" s="22" t="n"/>
      <c r="K66" s="23">
        <f>IF(G66="","",IF(J66&lt;&gt;"",MIN(J66,G66),IF(OR(I66="Observada",I66="Rechazada"),0,G66)))</f>
        <v/>
      </c>
      <c r="L66" s="24" t="n"/>
      <c r="M66" s="25">
        <f>IF(OR(A66="",D66=""),0,IF(COUNTIFS($A$2:A66,A66,$D$2:D66,D66)=1,1,0))</f>
        <v/>
      </c>
    </row>
    <row r="67">
      <c r="A67" s="26" t="n"/>
      <c r="B67" s="27" t="n"/>
      <c r="C67" s="27" t="n"/>
      <c r="D67" s="28" t="n"/>
      <c r="E67" s="28" t="n"/>
      <c r="F67" s="29" t="n"/>
      <c r="G67" s="30" t="n"/>
      <c r="H67" s="20">
        <f>IF(A67="","",TRIM(IF(WEEKDAY(A67,2)&gt;5,"Fin de semana. ","")&amp;IF(SUMIFS($G$2:$G$601,$A$2:$A$601,A67,$D$2:$D$601,D67)&gt;9,"Más de 9 h en el día. ","")&amp;IF(AND(B67&lt;&gt;"",C67&lt;&gt;"",C67&lt;B67),"Cruza la medianoche. ","")&amp;IF(LEN(TRIM(F67))&lt;15,"Sin descripción suficiente. ","")&amp;IF(AND(ISERROR(SEARCH("R-0",F67)),ISERROR(SEARCH("CU-",F67))),"Sin ticket. ","")&amp;IF(ISNA(MATCH(E67,Datos!$E$8:$E$22,0)),"Proyecto sin valor hora. ","")&amp;IF(ISNA(MATCH(D67,Datos!$A$8:$A$22,0)),"Persona fuera del equipo. ","")))</f>
        <v/>
      </c>
      <c r="I67" s="21" t="n"/>
      <c r="J67" s="22" t="n"/>
      <c r="K67" s="23">
        <f>IF(G67="","",IF(J67&lt;&gt;"",MIN(J67,G67),IF(OR(I67="Observada",I67="Rechazada"),0,G67)))</f>
        <v/>
      </c>
      <c r="L67" s="24" t="n"/>
      <c r="M67" s="25">
        <f>IF(OR(A67="",D67=""),0,IF(COUNTIFS($A$2:A67,A67,$D$2:D67,D67)=1,1,0))</f>
        <v/>
      </c>
    </row>
    <row r="68" ht="25.5" customHeight="1">
      <c r="A68" s="26" t="n"/>
      <c r="B68" s="27" t="n"/>
      <c r="C68" s="27" t="n"/>
      <c r="D68" s="28" t="n"/>
      <c r="E68" s="28" t="n"/>
      <c r="F68" s="29" t="n"/>
      <c r="G68" s="30" t="n"/>
      <c r="H68" s="20">
        <f>IF(A68="","",TRIM(IF(WEEKDAY(A68,2)&gt;5,"Fin de semana. ","")&amp;IF(SUMIFS($G$2:$G$601,$A$2:$A$601,A68,$D$2:$D$601,D68)&gt;9,"Más de 9 h en el día. ","")&amp;IF(AND(B68&lt;&gt;"",C68&lt;&gt;"",C68&lt;B68),"Cruza la medianoche. ","")&amp;IF(LEN(TRIM(F68))&lt;15,"Sin descripción suficiente. ","")&amp;IF(AND(ISERROR(SEARCH("R-0",F68)),ISERROR(SEARCH("CU-",F68))),"Sin ticket. ","")&amp;IF(ISNA(MATCH(E68,Datos!$E$8:$E$22,0)),"Proyecto sin valor hora. ","")&amp;IF(ISNA(MATCH(D68,Datos!$A$8:$A$22,0)),"Persona fuera del equipo. ","")))</f>
        <v/>
      </c>
      <c r="I68" s="21" t="n"/>
      <c r="J68" s="22" t="n"/>
      <c r="K68" s="23">
        <f>IF(G68="","",IF(J68&lt;&gt;"",MIN(J68,G68),IF(OR(I68="Observada",I68="Rechazada"),0,G68)))</f>
        <v/>
      </c>
      <c r="L68" s="24" t="n"/>
      <c r="M68" s="25">
        <f>IF(OR(A68="",D68=""),0,IF(COUNTIFS($A$2:A68,A68,$D$2:D68,D68)=1,1,0))</f>
        <v/>
      </c>
    </row>
    <row r="69">
      <c r="A69" s="26" t="n"/>
      <c r="B69" s="27" t="n"/>
      <c r="C69" s="27" t="n"/>
      <c r="D69" s="28" t="n"/>
      <c r="E69" s="28" t="n"/>
      <c r="F69" s="29" t="n"/>
      <c r="G69" s="30" t="n"/>
      <c r="H69" s="20">
        <f>IF(A69="","",TRIM(IF(WEEKDAY(A69,2)&gt;5,"Fin de semana. ","")&amp;IF(SUMIFS($G$2:$G$601,$A$2:$A$601,A69,$D$2:$D$601,D69)&gt;9,"Más de 9 h en el día. ","")&amp;IF(AND(B69&lt;&gt;"",C69&lt;&gt;"",C69&lt;B69),"Cruza la medianoche. ","")&amp;IF(LEN(TRIM(F69))&lt;15,"Sin descripción suficiente. ","")&amp;IF(AND(ISERROR(SEARCH("R-0",F69)),ISERROR(SEARCH("CU-",F69))),"Sin ticket. ","")&amp;IF(ISNA(MATCH(E69,Datos!$E$8:$E$22,0)),"Proyecto sin valor hora. ","")&amp;IF(ISNA(MATCH(D69,Datos!$A$8:$A$22,0)),"Persona fuera del equipo. ","")))</f>
        <v/>
      </c>
      <c r="I69" s="21" t="n"/>
      <c r="J69" s="22" t="n"/>
      <c r="K69" s="23">
        <f>IF(G69="","",IF(J69&lt;&gt;"",MIN(J69,G69),IF(OR(I69="Observada",I69="Rechazada"),0,G69)))</f>
        <v/>
      </c>
      <c r="L69" s="24" t="n"/>
      <c r="M69" s="25">
        <f>IF(OR(A69="",D69=""),0,IF(COUNTIFS($A$2:A69,A69,$D$2:D69,D69)=1,1,0))</f>
        <v/>
      </c>
    </row>
    <row r="70">
      <c r="A70" s="26" t="n"/>
      <c r="B70" s="27" t="n"/>
      <c r="C70" s="27" t="n"/>
      <c r="D70" s="28" t="n"/>
      <c r="E70" s="28" t="n"/>
      <c r="F70" s="29" t="n"/>
      <c r="G70" s="30" t="n"/>
      <c r="H70" s="20">
        <f>IF(A70="","",TRIM(IF(WEEKDAY(A70,2)&gt;5,"Fin de semana. ","")&amp;IF(SUMIFS($G$2:$G$601,$A$2:$A$601,A70,$D$2:$D$601,D70)&gt;9,"Más de 9 h en el día. ","")&amp;IF(AND(B70&lt;&gt;"",C70&lt;&gt;"",C70&lt;B70),"Cruza la medianoche. ","")&amp;IF(LEN(TRIM(F70))&lt;15,"Sin descripción suficiente. ","")&amp;IF(AND(ISERROR(SEARCH("R-0",F70)),ISERROR(SEARCH("CU-",F70))),"Sin ticket. ","")&amp;IF(ISNA(MATCH(E70,Datos!$E$8:$E$22,0)),"Proyecto sin valor hora. ","")&amp;IF(ISNA(MATCH(D70,Datos!$A$8:$A$22,0)),"Persona fuera del equipo. ","")))</f>
        <v/>
      </c>
      <c r="I70" s="21" t="n"/>
      <c r="J70" s="22" t="n"/>
      <c r="K70" s="23">
        <f>IF(G70="","",IF(J70&lt;&gt;"",MIN(J70,G70),IF(OR(I70="Observada",I70="Rechazada"),0,G70)))</f>
        <v/>
      </c>
      <c r="L70" s="24" t="n"/>
      <c r="M70" s="25">
        <f>IF(OR(A70="",D70=""),0,IF(COUNTIFS($A$2:A70,A70,$D$2:D70,D70)=1,1,0))</f>
        <v/>
      </c>
    </row>
    <row r="71">
      <c r="A71" s="26" t="n"/>
      <c r="B71" s="27" t="n"/>
      <c r="C71" s="27" t="n"/>
      <c r="D71" s="28" t="n"/>
      <c r="E71" s="28" t="n"/>
      <c r="F71" s="29" t="n"/>
      <c r="G71" s="30" t="n"/>
      <c r="H71" s="20">
        <f>IF(A71="","",TRIM(IF(WEEKDAY(A71,2)&gt;5,"Fin de semana. ","")&amp;IF(SUMIFS($G$2:$G$601,$A$2:$A$601,A71,$D$2:$D$601,D71)&gt;9,"Más de 9 h en el día. ","")&amp;IF(AND(B71&lt;&gt;"",C71&lt;&gt;"",C71&lt;B71),"Cruza la medianoche. ","")&amp;IF(LEN(TRIM(F71))&lt;15,"Sin descripción suficiente. ","")&amp;IF(AND(ISERROR(SEARCH("R-0",F71)),ISERROR(SEARCH("CU-",F71))),"Sin ticket. ","")&amp;IF(ISNA(MATCH(E71,Datos!$E$8:$E$22,0)),"Proyecto sin valor hora. ","")&amp;IF(ISNA(MATCH(D71,Datos!$A$8:$A$22,0)),"Persona fuera del equipo. ","")))</f>
        <v/>
      </c>
      <c r="I71" s="21" t="n"/>
      <c r="J71" s="22" t="n"/>
      <c r="K71" s="23">
        <f>IF(G71="","",IF(J71&lt;&gt;"",MIN(J71,G71),IF(OR(I71="Observada",I71="Rechazada"),0,G71)))</f>
        <v/>
      </c>
      <c r="L71" s="24" t="n"/>
      <c r="M71" s="25">
        <f>IF(OR(A71="",D71=""),0,IF(COUNTIFS($A$2:A71,A71,$D$2:D71,D71)=1,1,0))</f>
        <v/>
      </c>
    </row>
    <row r="72">
      <c r="A72" s="26" t="n"/>
      <c r="B72" s="27" t="n"/>
      <c r="C72" s="27" t="n"/>
      <c r="D72" s="28" t="n"/>
      <c r="E72" s="28" t="n"/>
      <c r="F72" s="29" t="n"/>
      <c r="G72" s="30" t="n"/>
      <c r="H72" s="20">
        <f>IF(A72="","",TRIM(IF(WEEKDAY(A72,2)&gt;5,"Fin de semana. ","")&amp;IF(SUMIFS($G$2:$G$601,$A$2:$A$601,A72,$D$2:$D$601,D72)&gt;9,"Más de 9 h en el día. ","")&amp;IF(AND(B72&lt;&gt;"",C72&lt;&gt;"",C72&lt;B72),"Cruza la medianoche. ","")&amp;IF(LEN(TRIM(F72))&lt;15,"Sin descripción suficiente. ","")&amp;IF(AND(ISERROR(SEARCH("R-0",F72)),ISERROR(SEARCH("CU-",F72))),"Sin ticket. ","")&amp;IF(ISNA(MATCH(E72,Datos!$E$8:$E$22,0)),"Proyecto sin valor hora. ","")&amp;IF(ISNA(MATCH(D72,Datos!$A$8:$A$22,0)),"Persona fuera del equipo. ","")))</f>
        <v/>
      </c>
      <c r="I72" s="21" t="n"/>
      <c r="J72" s="22" t="n"/>
      <c r="K72" s="23">
        <f>IF(G72="","",IF(J72&lt;&gt;"",MIN(J72,G72),IF(OR(I72="Observada",I72="Rechazada"),0,G72)))</f>
        <v/>
      </c>
      <c r="L72" s="24" t="n"/>
      <c r="M72" s="25">
        <f>IF(OR(A72="",D72=""),0,IF(COUNTIFS($A$2:A72,A72,$D$2:D72,D72)=1,1,0))</f>
        <v/>
      </c>
    </row>
    <row r="73">
      <c r="A73" s="26" t="n"/>
      <c r="B73" s="27" t="n"/>
      <c r="C73" s="27" t="n"/>
      <c r="D73" s="28" t="n"/>
      <c r="E73" s="28" t="n"/>
      <c r="F73" s="29" t="n"/>
      <c r="G73" s="30" t="n"/>
      <c r="H73" s="20">
        <f>IF(A73="","",TRIM(IF(WEEKDAY(A73,2)&gt;5,"Fin de semana. ","")&amp;IF(SUMIFS($G$2:$G$601,$A$2:$A$601,A73,$D$2:$D$601,D73)&gt;9,"Más de 9 h en el día. ","")&amp;IF(AND(B73&lt;&gt;"",C73&lt;&gt;"",C73&lt;B73),"Cruza la medianoche. ","")&amp;IF(LEN(TRIM(F73))&lt;15,"Sin descripción suficiente. ","")&amp;IF(AND(ISERROR(SEARCH("R-0",F73)),ISERROR(SEARCH("CU-",F73))),"Sin ticket. ","")&amp;IF(ISNA(MATCH(E73,Datos!$E$8:$E$22,0)),"Proyecto sin valor hora. ","")&amp;IF(ISNA(MATCH(D73,Datos!$A$8:$A$22,0)),"Persona fuera del equipo. ","")))</f>
        <v/>
      </c>
      <c r="I73" s="21" t="n"/>
      <c r="J73" s="22" t="n"/>
      <c r="K73" s="23">
        <f>IF(G73="","",IF(J73&lt;&gt;"",MIN(J73,G73),IF(OR(I73="Observada",I73="Rechazada"),0,G73)))</f>
        <v/>
      </c>
      <c r="L73" s="24" t="n"/>
      <c r="M73" s="25">
        <f>IF(OR(A73="",D73=""),0,IF(COUNTIFS($A$2:A73,A73,$D$2:D73,D73)=1,1,0))</f>
        <v/>
      </c>
    </row>
    <row r="74">
      <c r="A74" s="26" t="n"/>
      <c r="B74" s="27" t="n"/>
      <c r="C74" s="27" t="n"/>
      <c r="D74" s="28" t="n"/>
      <c r="E74" s="28" t="n"/>
      <c r="F74" s="29" t="n"/>
      <c r="G74" s="30" t="n"/>
      <c r="H74" s="20">
        <f>IF(A74="","",TRIM(IF(WEEKDAY(A74,2)&gt;5,"Fin de semana. ","")&amp;IF(SUMIFS($G$2:$G$601,$A$2:$A$601,A74,$D$2:$D$601,D74)&gt;9,"Más de 9 h en el día. ","")&amp;IF(AND(B74&lt;&gt;"",C74&lt;&gt;"",C74&lt;B74),"Cruza la medianoche. ","")&amp;IF(LEN(TRIM(F74))&lt;15,"Sin descripción suficiente. ","")&amp;IF(AND(ISERROR(SEARCH("R-0",F74)),ISERROR(SEARCH("CU-",F74))),"Sin ticket. ","")&amp;IF(ISNA(MATCH(E74,Datos!$E$8:$E$22,0)),"Proyecto sin valor hora. ","")&amp;IF(ISNA(MATCH(D74,Datos!$A$8:$A$22,0)),"Persona fuera del equipo. ","")))</f>
        <v/>
      </c>
      <c r="I74" s="21" t="n"/>
      <c r="J74" s="22" t="n"/>
      <c r="K74" s="23">
        <f>IF(G74="","",IF(J74&lt;&gt;"",MIN(J74,G74),IF(OR(I74="Observada",I74="Rechazada"),0,G74)))</f>
        <v/>
      </c>
      <c r="L74" s="24" t="n"/>
      <c r="M74" s="25">
        <f>IF(OR(A74="",D74=""),0,IF(COUNTIFS($A$2:A74,A74,$D$2:D74,D74)=1,1,0))</f>
        <v/>
      </c>
    </row>
    <row r="75">
      <c r="A75" s="26" t="n"/>
      <c r="B75" s="27" t="n"/>
      <c r="C75" s="27" t="n"/>
      <c r="D75" s="28" t="n"/>
      <c r="E75" s="28" t="n"/>
      <c r="F75" s="29" t="n"/>
      <c r="G75" s="30" t="n"/>
      <c r="H75" s="20">
        <f>IF(A75="","",TRIM(IF(WEEKDAY(A75,2)&gt;5,"Fin de semana. ","")&amp;IF(SUMIFS($G$2:$G$601,$A$2:$A$601,A75,$D$2:$D$601,D75)&gt;9,"Más de 9 h en el día. ","")&amp;IF(AND(B75&lt;&gt;"",C75&lt;&gt;"",C75&lt;B75),"Cruza la medianoche. ","")&amp;IF(LEN(TRIM(F75))&lt;15,"Sin descripción suficiente. ","")&amp;IF(AND(ISERROR(SEARCH("R-0",F75)),ISERROR(SEARCH("CU-",F75))),"Sin ticket. ","")&amp;IF(ISNA(MATCH(E75,Datos!$E$8:$E$22,0)),"Proyecto sin valor hora. ","")&amp;IF(ISNA(MATCH(D75,Datos!$A$8:$A$22,0)),"Persona fuera del equipo. ","")))</f>
        <v/>
      </c>
      <c r="I75" s="21" t="n"/>
      <c r="J75" s="22" t="n"/>
      <c r="K75" s="23">
        <f>IF(G75="","",IF(J75&lt;&gt;"",MIN(J75,G75),IF(OR(I75="Observada",I75="Rechazada"),0,G75)))</f>
        <v/>
      </c>
      <c r="L75" s="24" t="n"/>
      <c r="M75" s="25">
        <f>IF(OR(A75="",D75=""),0,IF(COUNTIFS($A$2:A75,A75,$D$2:D75,D75)=1,1,0))</f>
        <v/>
      </c>
    </row>
    <row r="76">
      <c r="A76" s="26" t="n"/>
      <c r="B76" s="27" t="n"/>
      <c r="C76" s="27" t="n"/>
      <c r="D76" s="28" t="n"/>
      <c r="E76" s="28" t="n"/>
      <c r="F76" s="29" t="n"/>
      <c r="G76" s="30" t="n"/>
      <c r="H76" s="20">
        <f>IF(A76="","",TRIM(IF(WEEKDAY(A76,2)&gt;5,"Fin de semana. ","")&amp;IF(SUMIFS($G$2:$G$601,$A$2:$A$601,A76,$D$2:$D$601,D76)&gt;9,"Más de 9 h en el día. ","")&amp;IF(AND(B76&lt;&gt;"",C76&lt;&gt;"",C76&lt;B76),"Cruza la medianoche. ","")&amp;IF(LEN(TRIM(F76))&lt;15,"Sin descripción suficiente. ","")&amp;IF(AND(ISERROR(SEARCH("R-0",F76)),ISERROR(SEARCH("CU-",F76))),"Sin ticket. ","")&amp;IF(ISNA(MATCH(E76,Datos!$E$8:$E$22,0)),"Proyecto sin valor hora. ","")&amp;IF(ISNA(MATCH(D76,Datos!$A$8:$A$22,0)),"Persona fuera del equipo. ","")))</f>
        <v/>
      </c>
      <c r="I76" s="21" t="n"/>
      <c r="J76" s="22" t="n"/>
      <c r="K76" s="23">
        <f>IF(G76="","",IF(J76&lt;&gt;"",MIN(J76,G76),IF(OR(I76="Observada",I76="Rechazada"),0,G76)))</f>
        <v/>
      </c>
      <c r="L76" s="24" t="n"/>
      <c r="M76" s="25">
        <f>IF(OR(A76="",D76=""),0,IF(COUNTIFS($A$2:A76,A76,$D$2:D76,D76)=1,1,0))</f>
        <v/>
      </c>
    </row>
    <row r="77">
      <c r="A77" s="26" t="n"/>
      <c r="B77" s="27" t="n"/>
      <c r="C77" s="27" t="n"/>
      <c r="D77" s="28" t="n"/>
      <c r="E77" s="28" t="n"/>
      <c r="F77" s="29" t="n"/>
      <c r="G77" s="30" t="n"/>
      <c r="H77" s="20">
        <f>IF(A77="","",TRIM(IF(WEEKDAY(A77,2)&gt;5,"Fin de semana. ","")&amp;IF(SUMIFS($G$2:$G$601,$A$2:$A$601,A77,$D$2:$D$601,D77)&gt;9,"Más de 9 h en el día. ","")&amp;IF(AND(B77&lt;&gt;"",C77&lt;&gt;"",C77&lt;B77),"Cruza la medianoche. ","")&amp;IF(LEN(TRIM(F77))&lt;15,"Sin descripción suficiente. ","")&amp;IF(AND(ISERROR(SEARCH("R-0",F77)),ISERROR(SEARCH("CU-",F77))),"Sin ticket. ","")&amp;IF(ISNA(MATCH(E77,Datos!$E$8:$E$22,0)),"Proyecto sin valor hora. ","")&amp;IF(ISNA(MATCH(D77,Datos!$A$8:$A$22,0)),"Persona fuera del equipo. ","")))</f>
        <v/>
      </c>
      <c r="I77" s="21" t="n"/>
      <c r="J77" s="22" t="n"/>
      <c r="K77" s="23">
        <f>IF(G77="","",IF(J77&lt;&gt;"",MIN(J77,G77),IF(OR(I77="Observada",I77="Rechazada"),0,G77)))</f>
        <v/>
      </c>
      <c r="L77" s="24" t="n"/>
      <c r="M77" s="25">
        <f>IF(OR(A77="",D77=""),0,IF(COUNTIFS($A$2:A77,A77,$D$2:D77,D77)=1,1,0))</f>
        <v/>
      </c>
    </row>
    <row r="78">
      <c r="A78" s="26" t="n"/>
      <c r="B78" s="27" t="n"/>
      <c r="C78" s="27" t="n"/>
      <c r="D78" s="28" t="n"/>
      <c r="E78" s="28" t="n"/>
      <c r="F78" s="29" t="n"/>
      <c r="G78" s="30" t="n"/>
      <c r="H78" s="20">
        <f>IF(A78="","",TRIM(IF(WEEKDAY(A78,2)&gt;5,"Fin de semana. ","")&amp;IF(SUMIFS($G$2:$G$601,$A$2:$A$601,A78,$D$2:$D$601,D78)&gt;9,"Más de 9 h en el día. ","")&amp;IF(AND(B78&lt;&gt;"",C78&lt;&gt;"",C78&lt;B78),"Cruza la medianoche. ","")&amp;IF(LEN(TRIM(F78))&lt;15,"Sin descripción suficiente. ","")&amp;IF(AND(ISERROR(SEARCH("R-0",F78)),ISERROR(SEARCH("CU-",F78))),"Sin ticket. ","")&amp;IF(ISNA(MATCH(E78,Datos!$E$8:$E$22,0)),"Proyecto sin valor hora. ","")&amp;IF(ISNA(MATCH(D78,Datos!$A$8:$A$22,0)),"Persona fuera del equipo. ","")))</f>
        <v/>
      </c>
      <c r="I78" s="21" t="n"/>
      <c r="J78" s="22" t="n"/>
      <c r="K78" s="23">
        <f>IF(G78="","",IF(J78&lt;&gt;"",MIN(J78,G78),IF(OR(I78="Observada",I78="Rechazada"),0,G78)))</f>
        <v/>
      </c>
      <c r="L78" s="24" t="n"/>
      <c r="M78" s="25">
        <f>IF(OR(A78="",D78=""),0,IF(COUNTIFS($A$2:A78,A78,$D$2:D78,D78)=1,1,0))</f>
        <v/>
      </c>
    </row>
    <row r="79">
      <c r="A79" s="26" t="n"/>
      <c r="B79" s="27" t="n"/>
      <c r="C79" s="27" t="n"/>
      <c r="D79" s="28" t="n"/>
      <c r="E79" s="28" t="n"/>
      <c r="F79" s="29" t="n"/>
      <c r="G79" s="30" t="n"/>
      <c r="H79" s="20">
        <f>IF(A79="","",TRIM(IF(WEEKDAY(A79,2)&gt;5,"Fin de semana. ","")&amp;IF(SUMIFS($G$2:$G$601,$A$2:$A$601,A79,$D$2:$D$601,D79)&gt;9,"Más de 9 h en el día. ","")&amp;IF(AND(B79&lt;&gt;"",C79&lt;&gt;"",C79&lt;B79),"Cruza la medianoche. ","")&amp;IF(LEN(TRIM(F79))&lt;15,"Sin descripción suficiente. ","")&amp;IF(AND(ISERROR(SEARCH("R-0",F79)),ISERROR(SEARCH("CU-",F79))),"Sin ticket. ","")&amp;IF(ISNA(MATCH(E79,Datos!$E$8:$E$22,0)),"Proyecto sin valor hora. ","")&amp;IF(ISNA(MATCH(D79,Datos!$A$8:$A$22,0)),"Persona fuera del equipo. ","")))</f>
        <v/>
      </c>
      <c r="I79" s="21" t="n"/>
      <c r="J79" s="22" t="n"/>
      <c r="K79" s="23">
        <f>IF(G79="","",IF(J79&lt;&gt;"",MIN(J79,G79),IF(OR(I79="Observada",I79="Rechazada"),0,G79)))</f>
        <v/>
      </c>
      <c r="L79" s="24" t="n"/>
      <c r="M79" s="25">
        <f>IF(OR(A79="",D79=""),0,IF(COUNTIFS($A$2:A79,A79,$D$2:D79,D79)=1,1,0))</f>
        <v/>
      </c>
    </row>
    <row r="80">
      <c r="A80" s="26" t="n"/>
      <c r="B80" s="27" t="n"/>
      <c r="C80" s="27" t="n"/>
      <c r="D80" s="28" t="n"/>
      <c r="E80" s="28" t="n"/>
      <c r="F80" s="29" t="n"/>
      <c r="G80" s="30" t="n"/>
      <c r="H80" s="20">
        <f>IF(A80="","",TRIM(IF(WEEKDAY(A80,2)&gt;5,"Fin de semana. ","")&amp;IF(SUMIFS($G$2:$G$601,$A$2:$A$601,A80,$D$2:$D$601,D80)&gt;9,"Más de 9 h en el día. ","")&amp;IF(AND(B80&lt;&gt;"",C80&lt;&gt;"",C80&lt;B80),"Cruza la medianoche. ","")&amp;IF(LEN(TRIM(F80))&lt;15,"Sin descripción suficiente. ","")&amp;IF(AND(ISERROR(SEARCH("R-0",F80)),ISERROR(SEARCH("CU-",F80))),"Sin ticket. ","")&amp;IF(ISNA(MATCH(E80,Datos!$E$8:$E$22,0)),"Proyecto sin valor hora. ","")&amp;IF(ISNA(MATCH(D80,Datos!$A$8:$A$22,0)),"Persona fuera del equipo. ","")))</f>
        <v/>
      </c>
      <c r="I80" s="21" t="n"/>
      <c r="J80" s="22" t="n"/>
      <c r="K80" s="23">
        <f>IF(G80="","",IF(J80&lt;&gt;"",MIN(J80,G80),IF(OR(I80="Observada",I80="Rechazada"),0,G80)))</f>
        <v/>
      </c>
      <c r="L80" s="24" t="n"/>
      <c r="M80" s="25">
        <f>IF(OR(A80="",D80=""),0,IF(COUNTIFS($A$2:A80,A80,$D$2:D80,D80)=1,1,0))</f>
        <v/>
      </c>
    </row>
    <row r="81">
      <c r="A81" s="26" t="n"/>
      <c r="B81" s="27" t="n"/>
      <c r="C81" s="27" t="n"/>
      <c r="D81" s="28" t="n"/>
      <c r="E81" s="28" t="n"/>
      <c r="F81" s="29" t="n"/>
      <c r="G81" s="30" t="n"/>
      <c r="H81" s="20">
        <f>IF(A81="","",TRIM(IF(WEEKDAY(A81,2)&gt;5,"Fin de semana. ","")&amp;IF(SUMIFS($G$2:$G$601,$A$2:$A$601,A81,$D$2:$D$601,D81)&gt;9,"Más de 9 h en el día. ","")&amp;IF(AND(B81&lt;&gt;"",C81&lt;&gt;"",C81&lt;B81),"Cruza la medianoche. ","")&amp;IF(LEN(TRIM(F81))&lt;15,"Sin descripción suficiente. ","")&amp;IF(AND(ISERROR(SEARCH("R-0",F81)),ISERROR(SEARCH("CU-",F81))),"Sin ticket. ","")&amp;IF(ISNA(MATCH(E81,Datos!$E$8:$E$22,0)),"Proyecto sin valor hora. ","")&amp;IF(ISNA(MATCH(D81,Datos!$A$8:$A$22,0)),"Persona fuera del equipo. ","")))</f>
        <v/>
      </c>
      <c r="I81" s="21" t="n"/>
      <c r="J81" s="22" t="n"/>
      <c r="K81" s="23">
        <f>IF(G81="","",IF(J81&lt;&gt;"",MIN(J81,G81),IF(OR(I81="Observada",I81="Rechazada"),0,G81)))</f>
        <v/>
      </c>
      <c r="L81" s="24" t="n"/>
      <c r="M81" s="25">
        <f>IF(OR(A81="",D81=""),0,IF(COUNTIFS($A$2:A81,A81,$D$2:D81,D81)=1,1,0))</f>
        <v/>
      </c>
    </row>
    <row r="82">
      <c r="A82" s="26" t="n"/>
      <c r="B82" s="27" t="n"/>
      <c r="C82" s="27" t="n"/>
      <c r="D82" s="28" t="n"/>
      <c r="E82" s="28" t="n"/>
      <c r="F82" s="29" t="n"/>
      <c r="G82" s="30" t="n"/>
      <c r="H82" s="20">
        <f>IF(A82="","",TRIM(IF(WEEKDAY(A82,2)&gt;5,"Fin de semana. ","")&amp;IF(SUMIFS($G$2:$G$601,$A$2:$A$601,A82,$D$2:$D$601,D82)&gt;9,"Más de 9 h en el día. ","")&amp;IF(AND(B82&lt;&gt;"",C82&lt;&gt;"",C82&lt;B82),"Cruza la medianoche. ","")&amp;IF(LEN(TRIM(F82))&lt;15,"Sin descripción suficiente. ","")&amp;IF(AND(ISERROR(SEARCH("R-0",F82)),ISERROR(SEARCH("CU-",F82))),"Sin ticket. ","")&amp;IF(ISNA(MATCH(E82,Datos!$E$8:$E$22,0)),"Proyecto sin valor hora. ","")&amp;IF(ISNA(MATCH(D82,Datos!$A$8:$A$22,0)),"Persona fuera del equipo. ","")))</f>
        <v/>
      </c>
      <c r="I82" s="21" t="n"/>
      <c r="J82" s="22" t="n"/>
      <c r="K82" s="23">
        <f>IF(G82="","",IF(J82&lt;&gt;"",MIN(J82,G82),IF(OR(I82="Observada",I82="Rechazada"),0,G82)))</f>
        <v/>
      </c>
      <c r="L82" s="24" t="n"/>
      <c r="M82" s="25">
        <f>IF(OR(A82="",D82=""),0,IF(COUNTIFS($A$2:A82,A82,$D$2:D82,D82)=1,1,0))</f>
        <v/>
      </c>
    </row>
    <row r="83">
      <c r="A83" s="26" t="n"/>
      <c r="B83" s="27" t="n"/>
      <c r="C83" s="27" t="n"/>
      <c r="D83" s="28" t="n"/>
      <c r="E83" s="28" t="n"/>
      <c r="F83" s="29" t="n"/>
      <c r="G83" s="30" t="n"/>
      <c r="H83" s="20">
        <f>IF(A83="","",TRIM(IF(WEEKDAY(A83,2)&gt;5,"Fin de semana. ","")&amp;IF(SUMIFS($G$2:$G$601,$A$2:$A$601,A83,$D$2:$D$601,D83)&gt;9,"Más de 9 h en el día. ","")&amp;IF(AND(B83&lt;&gt;"",C83&lt;&gt;"",C83&lt;B83),"Cruza la medianoche. ","")&amp;IF(LEN(TRIM(F83))&lt;15,"Sin descripción suficiente. ","")&amp;IF(AND(ISERROR(SEARCH("R-0",F83)),ISERROR(SEARCH("CU-",F83))),"Sin ticket. ","")&amp;IF(ISNA(MATCH(E83,Datos!$E$8:$E$22,0)),"Proyecto sin valor hora. ","")&amp;IF(ISNA(MATCH(D83,Datos!$A$8:$A$22,0)),"Persona fuera del equipo. ","")))</f>
        <v/>
      </c>
      <c r="I83" s="21" t="n"/>
      <c r="J83" s="22" t="n"/>
      <c r="K83" s="23">
        <f>IF(G83="","",IF(J83&lt;&gt;"",MIN(J83,G83),IF(OR(I83="Observada",I83="Rechazada"),0,G83)))</f>
        <v/>
      </c>
      <c r="L83" s="24" t="n"/>
      <c r="M83" s="25">
        <f>IF(OR(A83="",D83=""),0,IF(COUNTIFS($A$2:A83,A83,$D$2:D83,D83)=1,1,0))</f>
        <v/>
      </c>
    </row>
    <row r="84">
      <c r="A84" s="26" t="n"/>
      <c r="B84" s="27" t="n"/>
      <c r="C84" s="27" t="n"/>
      <c r="D84" s="28" t="n"/>
      <c r="E84" s="28" t="n"/>
      <c r="F84" s="29" t="n"/>
      <c r="G84" s="30" t="n"/>
      <c r="H84" s="20">
        <f>IF(A84="","",TRIM(IF(WEEKDAY(A84,2)&gt;5,"Fin de semana. ","")&amp;IF(SUMIFS($G$2:$G$601,$A$2:$A$601,A84,$D$2:$D$601,D84)&gt;9,"Más de 9 h en el día. ","")&amp;IF(AND(B84&lt;&gt;"",C84&lt;&gt;"",C84&lt;B84),"Cruza la medianoche. ","")&amp;IF(LEN(TRIM(F84))&lt;15,"Sin descripción suficiente. ","")&amp;IF(AND(ISERROR(SEARCH("R-0",F84)),ISERROR(SEARCH("CU-",F84))),"Sin ticket. ","")&amp;IF(ISNA(MATCH(E84,Datos!$E$8:$E$22,0)),"Proyecto sin valor hora. ","")&amp;IF(ISNA(MATCH(D84,Datos!$A$8:$A$22,0)),"Persona fuera del equipo. ","")))</f>
        <v/>
      </c>
      <c r="I84" s="21" t="n"/>
      <c r="J84" s="22" t="n"/>
      <c r="K84" s="23">
        <f>IF(G84="","",IF(J84&lt;&gt;"",MIN(J84,G84),IF(OR(I84="Observada",I84="Rechazada"),0,G84)))</f>
        <v/>
      </c>
      <c r="L84" s="24" t="n"/>
      <c r="M84" s="25">
        <f>IF(OR(A84="",D84=""),0,IF(COUNTIFS($A$2:A84,A84,$D$2:D84,D84)=1,1,0))</f>
        <v/>
      </c>
    </row>
    <row r="85">
      <c r="A85" s="26" t="n"/>
      <c r="B85" s="27" t="n"/>
      <c r="C85" s="27" t="n"/>
      <c r="D85" s="28" t="n"/>
      <c r="E85" s="28" t="n"/>
      <c r="F85" s="29" t="n"/>
      <c r="G85" s="30" t="n"/>
      <c r="H85" s="20">
        <f>IF(A85="","",TRIM(IF(WEEKDAY(A85,2)&gt;5,"Fin de semana. ","")&amp;IF(SUMIFS($G$2:$G$601,$A$2:$A$601,A85,$D$2:$D$601,D85)&gt;9,"Más de 9 h en el día. ","")&amp;IF(AND(B85&lt;&gt;"",C85&lt;&gt;"",C85&lt;B85),"Cruza la medianoche. ","")&amp;IF(LEN(TRIM(F85))&lt;15,"Sin descripción suficiente. ","")&amp;IF(AND(ISERROR(SEARCH("R-0",F85)),ISERROR(SEARCH("CU-",F85))),"Sin ticket. ","")&amp;IF(ISNA(MATCH(E85,Datos!$E$8:$E$22,0)),"Proyecto sin valor hora. ","")&amp;IF(ISNA(MATCH(D85,Datos!$A$8:$A$22,0)),"Persona fuera del equipo. ","")))</f>
        <v/>
      </c>
      <c r="I85" s="21" t="n"/>
      <c r="J85" s="22" t="n"/>
      <c r="K85" s="23">
        <f>IF(G85="","",IF(J85&lt;&gt;"",MIN(J85,G85),IF(OR(I85="Observada",I85="Rechazada"),0,G85)))</f>
        <v/>
      </c>
      <c r="L85" s="24" t="n"/>
      <c r="M85" s="25">
        <f>IF(OR(A85="",D85=""),0,IF(COUNTIFS($A$2:A85,A85,$D$2:D85,D85)=1,1,0))</f>
        <v/>
      </c>
    </row>
    <row r="86">
      <c r="A86" s="26" t="n"/>
      <c r="B86" s="27" t="n"/>
      <c r="C86" s="27" t="n"/>
      <c r="D86" s="28" t="n"/>
      <c r="E86" s="28" t="n"/>
      <c r="F86" s="29" t="n"/>
      <c r="G86" s="30" t="n"/>
      <c r="H86" s="20">
        <f>IF(A86="","",TRIM(IF(WEEKDAY(A86,2)&gt;5,"Fin de semana. ","")&amp;IF(SUMIFS($G$2:$G$601,$A$2:$A$601,A86,$D$2:$D$601,D86)&gt;9,"Más de 9 h en el día. ","")&amp;IF(AND(B86&lt;&gt;"",C86&lt;&gt;"",C86&lt;B86),"Cruza la medianoche. ","")&amp;IF(LEN(TRIM(F86))&lt;15,"Sin descripción suficiente. ","")&amp;IF(AND(ISERROR(SEARCH("R-0",F86)),ISERROR(SEARCH("CU-",F86))),"Sin ticket. ","")&amp;IF(ISNA(MATCH(E86,Datos!$E$8:$E$22,0)),"Proyecto sin valor hora. ","")&amp;IF(ISNA(MATCH(D86,Datos!$A$8:$A$22,0)),"Persona fuera del equipo. ","")))</f>
        <v/>
      </c>
      <c r="I86" s="21" t="n"/>
      <c r="J86" s="22" t="n"/>
      <c r="K86" s="23">
        <f>IF(G86="","",IF(J86&lt;&gt;"",MIN(J86,G86),IF(OR(I86="Observada",I86="Rechazada"),0,G86)))</f>
        <v/>
      </c>
      <c r="L86" s="24" t="n"/>
      <c r="M86" s="25">
        <f>IF(OR(A86="",D86=""),0,IF(COUNTIFS($A$2:A86,A86,$D$2:D86,D86)=1,1,0))</f>
        <v/>
      </c>
    </row>
    <row r="87">
      <c r="A87" s="26" t="n"/>
      <c r="B87" s="27" t="n"/>
      <c r="C87" s="27" t="n"/>
      <c r="D87" s="28" t="n"/>
      <c r="E87" s="28" t="n"/>
      <c r="F87" s="29" t="n"/>
      <c r="G87" s="30" t="n"/>
      <c r="H87" s="20">
        <f>IF(A87="","",TRIM(IF(WEEKDAY(A87,2)&gt;5,"Fin de semana. ","")&amp;IF(SUMIFS($G$2:$G$601,$A$2:$A$601,A87,$D$2:$D$601,D87)&gt;9,"Más de 9 h en el día. ","")&amp;IF(AND(B87&lt;&gt;"",C87&lt;&gt;"",C87&lt;B87),"Cruza la medianoche. ","")&amp;IF(LEN(TRIM(F87))&lt;15,"Sin descripción suficiente. ","")&amp;IF(AND(ISERROR(SEARCH("R-0",F87)),ISERROR(SEARCH("CU-",F87))),"Sin ticket. ","")&amp;IF(ISNA(MATCH(E87,Datos!$E$8:$E$22,0)),"Proyecto sin valor hora. ","")&amp;IF(ISNA(MATCH(D87,Datos!$A$8:$A$22,0)),"Persona fuera del equipo. ","")))</f>
        <v/>
      </c>
      <c r="I87" s="21" t="n"/>
      <c r="J87" s="22" t="n"/>
      <c r="K87" s="23">
        <f>IF(G87="","",IF(J87&lt;&gt;"",MIN(J87,G87),IF(OR(I87="Observada",I87="Rechazada"),0,G87)))</f>
        <v/>
      </c>
      <c r="L87" s="24" t="n"/>
      <c r="M87" s="25">
        <f>IF(OR(A87="",D87=""),0,IF(COUNTIFS($A$2:A87,A87,$D$2:D87,D87)=1,1,0))</f>
        <v/>
      </c>
    </row>
    <row r="88">
      <c r="A88" s="26" t="n"/>
      <c r="B88" s="27" t="n"/>
      <c r="C88" s="27" t="n"/>
      <c r="D88" s="28" t="n"/>
      <c r="E88" s="28" t="n"/>
      <c r="F88" s="29" t="n"/>
      <c r="G88" s="30" t="n"/>
      <c r="H88" s="20">
        <f>IF(A88="","",TRIM(IF(WEEKDAY(A88,2)&gt;5,"Fin de semana. ","")&amp;IF(SUMIFS($G$2:$G$601,$A$2:$A$601,A88,$D$2:$D$601,D88)&gt;9,"Más de 9 h en el día. ","")&amp;IF(AND(B88&lt;&gt;"",C88&lt;&gt;"",C88&lt;B88),"Cruza la medianoche. ","")&amp;IF(LEN(TRIM(F88))&lt;15,"Sin descripción suficiente. ","")&amp;IF(AND(ISERROR(SEARCH("R-0",F88)),ISERROR(SEARCH("CU-",F88))),"Sin ticket. ","")&amp;IF(ISNA(MATCH(E88,Datos!$E$8:$E$22,0)),"Proyecto sin valor hora. ","")&amp;IF(ISNA(MATCH(D88,Datos!$A$8:$A$22,0)),"Persona fuera del equipo. ","")))</f>
        <v/>
      </c>
      <c r="I88" s="21" t="n"/>
      <c r="J88" s="22" t="n"/>
      <c r="K88" s="23">
        <f>IF(G88="","",IF(J88&lt;&gt;"",MIN(J88,G88),IF(OR(I88="Observada",I88="Rechazada"),0,G88)))</f>
        <v/>
      </c>
      <c r="L88" s="24" t="n"/>
      <c r="M88" s="25">
        <f>IF(OR(A88="",D88=""),0,IF(COUNTIFS($A$2:A88,A88,$D$2:D88,D88)=1,1,0))</f>
        <v/>
      </c>
    </row>
    <row r="89">
      <c r="A89" s="26" t="n"/>
      <c r="B89" s="27" t="n"/>
      <c r="C89" s="27" t="n"/>
      <c r="D89" s="28" t="n"/>
      <c r="E89" s="28" t="n"/>
      <c r="F89" s="29" t="n"/>
      <c r="G89" s="30" t="n"/>
      <c r="H89" s="20">
        <f>IF(A89="","",TRIM(IF(WEEKDAY(A89,2)&gt;5,"Fin de semana. ","")&amp;IF(SUMIFS($G$2:$G$601,$A$2:$A$601,A89,$D$2:$D$601,D89)&gt;9,"Más de 9 h en el día. ","")&amp;IF(AND(B89&lt;&gt;"",C89&lt;&gt;"",C89&lt;B89),"Cruza la medianoche. ","")&amp;IF(LEN(TRIM(F89))&lt;15,"Sin descripción suficiente. ","")&amp;IF(AND(ISERROR(SEARCH("R-0",F89)),ISERROR(SEARCH("CU-",F89))),"Sin ticket. ","")&amp;IF(ISNA(MATCH(E89,Datos!$E$8:$E$22,0)),"Proyecto sin valor hora. ","")&amp;IF(ISNA(MATCH(D89,Datos!$A$8:$A$22,0)),"Persona fuera del equipo. ","")))</f>
        <v/>
      </c>
      <c r="I89" s="21" t="n"/>
      <c r="J89" s="22" t="n"/>
      <c r="K89" s="23">
        <f>IF(G89="","",IF(J89&lt;&gt;"",MIN(J89,G89),IF(OR(I89="Observada",I89="Rechazada"),0,G89)))</f>
        <v/>
      </c>
      <c r="L89" s="24" t="n"/>
      <c r="M89" s="25">
        <f>IF(OR(A89="",D89=""),0,IF(COUNTIFS($A$2:A89,A89,$D$2:D89,D89)=1,1,0))</f>
        <v/>
      </c>
    </row>
    <row r="90">
      <c r="A90" s="26" t="n"/>
      <c r="B90" s="27" t="n"/>
      <c r="C90" s="27" t="n"/>
      <c r="D90" s="28" t="n"/>
      <c r="E90" s="28" t="n"/>
      <c r="F90" s="29" t="n"/>
      <c r="G90" s="30" t="n"/>
      <c r="H90" s="20">
        <f>IF(A90="","",TRIM(IF(WEEKDAY(A90,2)&gt;5,"Fin de semana. ","")&amp;IF(SUMIFS($G$2:$G$601,$A$2:$A$601,A90,$D$2:$D$601,D90)&gt;9,"Más de 9 h en el día. ","")&amp;IF(AND(B90&lt;&gt;"",C90&lt;&gt;"",C90&lt;B90),"Cruza la medianoche. ","")&amp;IF(LEN(TRIM(F90))&lt;15,"Sin descripción suficiente. ","")&amp;IF(AND(ISERROR(SEARCH("R-0",F90)),ISERROR(SEARCH("CU-",F90))),"Sin ticket. ","")&amp;IF(ISNA(MATCH(E90,Datos!$E$8:$E$22,0)),"Proyecto sin valor hora. ","")&amp;IF(ISNA(MATCH(D90,Datos!$A$8:$A$22,0)),"Persona fuera del equipo. ","")))</f>
        <v/>
      </c>
      <c r="I90" s="21" t="n"/>
      <c r="J90" s="22" t="n"/>
      <c r="K90" s="23">
        <f>IF(G90="","",IF(J90&lt;&gt;"",MIN(J90,G90),IF(OR(I90="Observada",I90="Rechazada"),0,G90)))</f>
        <v/>
      </c>
      <c r="L90" s="24" t="n"/>
      <c r="M90" s="25">
        <f>IF(OR(A90="",D90=""),0,IF(COUNTIFS($A$2:A90,A90,$D$2:D90,D90)=1,1,0))</f>
        <v/>
      </c>
    </row>
    <row r="91">
      <c r="A91" s="26" t="n"/>
      <c r="B91" s="27" t="n"/>
      <c r="C91" s="27" t="n"/>
      <c r="D91" s="28" t="n"/>
      <c r="E91" s="28" t="n"/>
      <c r="F91" s="29" t="n"/>
      <c r="G91" s="30" t="n"/>
      <c r="H91" s="20">
        <f>IF(A91="","",TRIM(IF(WEEKDAY(A91,2)&gt;5,"Fin de semana. ","")&amp;IF(SUMIFS($G$2:$G$601,$A$2:$A$601,A91,$D$2:$D$601,D91)&gt;9,"Más de 9 h en el día. ","")&amp;IF(AND(B91&lt;&gt;"",C91&lt;&gt;"",C91&lt;B91),"Cruza la medianoche. ","")&amp;IF(LEN(TRIM(F91))&lt;15,"Sin descripción suficiente. ","")&amp;IF(AND(ISERROR(SEARCH("R-0",F91)),ISERROR(SEARCH("CU-",F91))),"Sin ticket. ","")&amp;IF(ISNA(MATCH(E91,Datos!$E$8:$E$22,0)),"Proyecto sin valor hora. ","")&amp;IF(ISNA(MATCH(D91,Datos!$A$8:$A$22,0)),"Persona fuera del equipo. ","")))</f>
        <v/>
      </c>
      <c r="I91" s="21" t="n"/>
      <c r="J91" s="22" t="n"/>
      <c r="K91" s="23">
        <f>IF(G91="","",IF(J91&lt;&gt;"",MIN(J91,G91),IF(OR(I91="Observada",I91="Rechazada"),0,G91)))</f>
        <v/>
      </c>
      <c r="L91" s="24" t="n"/>
      <c r="M91" s="25">
        <f>IF(OR(A91="",D91=""),0,IF(COUNTIFS($A$2:A91,A91,$D$2:D91,D91)=1,1,0))</f>
        <v/>
      </c>
    </row>
    <row r="92">
      <c r="A92" s="26" t="n"/>
      <c r="B92" s="27" t="n"/>
      <c r="C92" s="27" t="n"/>
      <c r="D92" s="28" t="n"/>
      <c r="E92" s="28" t="n"/>
      <c r="F92" s="29" t="n"/>
      <c r="G92" s="30" t="n"/>
      <c r="H92" s="20">
        <f>IF(A92="","",TRIM(IF(WEEKDAY(A92,2)&gt;5,"Fin de semana. ","")&amp;IF(SUMIFS($G$2:$G$601,$A$2:$A$601,A92,$D$2:$D$601,D92)&gt;9,"Más de 9 h en el día. ","")&amp;IF(AND(B92&lt;&gt;"",C92&lt;&gt;"",C92&lt;B92),"Cruza la medianoche. ","")&amp;IF(LEN(TRIM(F92))&lt;15,"Sin descripción suficiente. ","")&amp;IF(AND(ISERROR(SEARCH("R-0",F92)),ISERROR(SEARCH("CU-",F92))),"Sin ticket. ","")&amp;IF(ISNA(MATCH(E92,Datos!$E$8:$E$22,0)),"Proyecto sin valor hora. ","")&amp;IF(ISNA(MATCH(D92,Datos!$A$8:$A$22,0)),"Persona fuera del equipo. ","")))</f>
        <v/>
      </c>
      <c r="I92" s="21" t="n"/>
      <c r="J92" s="22" t="n"/>
      <c r="K92" s="23">
        <f>IF(G92="","",IF(J92&lt;&gt;"",MIN(J92,G92),IF(OR(I92="Observada",I92="Rechazada"),0,G92)))</f>
        <v/>
      </c>
      <c r="L92" s="24" t="n"/>
      <c r="M92" s="25">
        <f>IF(OR(A92="",D92=""),0,IF(COUNTIFS($A$2:A92,A92,$D$2:D92,D92)=1,1,0))</f>
        <v/>
      </c>
    </row>
    <row r="93">
      <c r="A93" s="26" t="n"/>
      <c r="B93" s="27" t="n"/>
      <c r="C93" s="27" t="n"/>
      <c r="D93" s="28" t="n"/>
      <c r="E93" s="28" t="n"/>
      <c r="F93" s="29" t="n"/>
      <c r="G93" s="30" t="n"/>
      <c r="H93" s="20">
        <f>IF(A93="","",TRIM(IF(WEEKDAY(A93,2)&gt;5,"Fin de semana. ","")&amp;IF(SUMIFS($G$2:$G$601,$A$2:$A$601,A93,$D$2:$D$601,D93)&gt;9,"Más de 9 h en el día. ","")&amp;IF(AND(B93&lt;&gt;"",C93&lt;&gt;"",C93&lt;B93),"Cruza la medianoche. ","")&amp;IF(LEN(TRIM(F93))&lt;15,"Sin descripción suficiente. ","")&amp;IF(AND(ISERROR(SEARCH("R-0",F93)),ISERROR(SEARCH("CU-",F93))),"Sin ticket. ","")&amp;IF(ISNA(MATCH(E93,Datos!$E$8:$E$22,0)),"Proyecto sin valor hora. ","")&amp;IF(ISNA(MATCH(D93,Datos!$A$8:$A$22,0)),"Persona fuera del equipo. ","")))</f>
        <v/>
      </c>
      <c r="I93" s="21" t="n"/>
      <c r="J93" s="22" t="n"/>
      <c r="K93" s="23">
        <f>IF(G93="","",IF(J93&lt;&gt;"",MIN(J93,G93),IF(OR(I93="Observada",I93="Rechazada"),0,G93)))</f>
        <v/>
      </c>
      <c r="L93" s="24" t="n"/>
      <c r="M93" s="25">
        <f>IF(OR(A93="",D93=""),0,IF(COUNTIFS($A$2:A93,A93,$D$2:D93,D93)=1,1,0))</f>
        <v/>
      </c>
    </row>
    <row r="94">
      <c r="A94" s="26" t="n"/>
      <c r="B94" s="27" t="n"/>
      <c r="C94" s="27" t="n"/>
      <c r="D94" s="28" t="n"/>
      <c r="E94" s="28" t="n"/>
      <c r="F94" s="29" t="n"/>
      <c r="G94" s="30" t="n"/>
      <c r="H94" s="20">
        <f>IF(A94="","",TRIM(IF(WEEKDAY(A94,2)&gt;5,"Fin de semana. ","")&amp;IF(SUMIFS($G$2:$G$601,$A$2:$A$601,A94,$D$2:$D$601,D94)&gt;9,"Más de 9 h en el día. ","")&amp;IF(AND(B94&lt;&gt;"",C94&lt;&gt;"",C94&lt;B94),"Cruza la medianoche. ","")&amp;IF(LEN(TRIM(F94))&lt;15,"Sin descripción suficiente. ","")&amp;IF(AND(ISERROR(SEARCH("R-0",F94)),ISERROR(SEARCH("CU-",F94))),"Sin ticket. ","")&amp;IF(ISNA(MATCH(E94,Datos!$E$8:$E$22,0)),"Proyecto sin valor hora. ","")&amp;IF(ISNA(MATCH(D94,Datos!$A$8:$A$22,0)),"Persona fuera del equipo. ","")))</f>
        <v/>
      </c>
      <c r="I94" s="21" t="n"/>
      <c r="J94" s="22" t="n"/>
      <c r="K94" s="23">
        <f>IF(G94="","",IF(J94&lt;&gt;"",MIN(J94,G94),IF(OR(I94="Observada",I94="Rechazada"),0,G94)))</f>
        <v/>
      </c>
      <c r="L94" s="24" t="n"/>
      <c r="M94" s="25">
        <f>IF(OR(A94="",D94=""),0,IF(COUNTIFS($A$2:A94,A94,$D$2:D94,D94)=1,1,0))</f>
        <v/>
      </c>
    </row>
    <row r="95">
      <c r="A95" s="26" t="n"/>
      <c r="B95" s="27" t="n"/>
      <c r="C95" s="27" t="n"/>
      <c r="D95" s="28" t="n"/>
      <c r="E95" s="28" t="n"/>
      <c r="F95" s="29" t="n"/>
      <c r="G95" s="30" t="n"/>
      <c r="H95" s="20">
        <f>IF(A95="","",TRIM(IF(WEEKDAY(A95,2)&gt;5,"Fin de semana. ","")&amp;IF(SUMIFS($G$2:$G$601,$A$2:$A$601,A95,$D$2:$D$601,D95)&gt;9,"Más de 9 h en el día. ","")&amp;IF(AND(B95&lt;&gt;"",C95&lt;&gt;"",C95&lt;B95),"Cruza la medianoche. ","")&amp;IF(LEN(TRIM(F95))&lt;15,"Sin descripción suficiente. ","")&amp;IF(AND(ISERROR(SEARCH("R-0",F95)),ISERROR(SEARCH("CU-",F95))),"Sin ticket. ","")&amp;IF(ISNA(MATCH(E95,Datos!$E$8:$E$22,0)),"Proyecto sin valor hora. ","")&amp;IF(ISNA(MATCH(D95,Datos!$A$8:$A$22,0)),"Persona fuera del equipo. ","")))</f>
        <v/>
      </c>
      <c r="I95" s="21" t="n"/>
      <c r="J95" s="22" t="n"/>
      <c r="K95" s="23">
        <f>IF(G95="","",IF(J95&lt;&gt;"",MIN(J95,G95),IF(OR(I95="Observada",I95="Rechazada"),0,G95)))</f>
        <v/>
      </c>
      <c r="L95" s="24" t="n"/>
      <c r="M95" s="25">
        <f>IF(OR(A95="",D95=""),0,IF(COUNTIFS($A$2:A95,A95,$D$2:D95,D95)=1,1,0))</f>
        <v/>
      </c>
    </row>
    <row r="96">
      <c r="A96" s="26" t="n"/>
      <c r="B96" s="27" t="n"/>
      <c r="C96" s="27" t="n"/>
      <c r="D96" s="28" t="n"/>
      <c r="E96" s="28" t="n"/>
      <c r="F96" s="29" t="n"/>
      <c r="G96" s="30" t="n"/>
      <c r="H96" s="20">
        <f>IF(A96="","",TRIM(IF(WEEKDAY(A96,2)&gt;5,"Fin de semana. ","")&amp;IF(SUMIFS($G$2:$G$601,$A$2:$A$601,A96,$D$2:$D$601,D96)&gt;9,"Más de 9 h en el día. ","")&amp;IF(AND(B96&lt;&gt;"",C96&lt;&gt;"",C96&lt;B96),"Cruza la medianoche. ","")&amp;IF(LEN(TRIM(F96))&lt;15,"Sin descripción suficiente. ","")&amp;IF(AND(ISERROR(SEARCH("R-0",F96)),ISERROR(SEARCH("CU-",F96))),"Sin ticket. ","")&amp;IF(ISNA(MATCH(E96,Datos!$E$8:$E$22,0)),"Proyecto sin valor hora. ","")&amp;IF(ISNA(MATCH(D96,Datos!$A$8:$A$22,0)),"Persona fuera del equipo. ","")))</f>
        <v/>
      </c>
      <c r="I96" s="21" t="n"/>
      <c r="J96" s="22" t="n"/>
      <c r="K96" s="23">
        <f>IF(G96="","",IF(J96&lt;&gt;"",MIN(J96,G96),IF(OR(I96="Observada",I96="Rechazada"),0,G96)))</f>
        <v/>
      </c>
      <c r="L96" s="24" t="n"/>
      <c r="M96" s="25">
        <f>IF(OR(A96="",D96=""),0,IF(COUNTIFS($A$2:A96,A96,$D$2:D96,D96)=1,1,0))</f>
        <v/>
      </c>
    </row>
    <row r="97">
      <c r="A97" s="26" t="n"/>
      <c r="B97" s="27" t="n"/>
      <c r="C97" s="27" t="n"/>
      <c r="D97" s="28" t="n"/>
      <c r="E97" s="28" t="n"/>
      <c r="F97" s="29" t="n"/>
      <c r="G97" s="30" t="n"/>
      <c r="H97" s="20">
        <f>IF(A97="","",TRIM(IF(WEEKDAY(A97,2)&gt;5,"Fin de semana. ","")&amp;IF(SUMIFS($G$2:$G$601,$A$2:$A$601,A97,$D$2:$D$601,D97)&gt;9,"Más de 9 h en el día. ","")&amp;IF(AND(B97&lt;&gt;"",C97&lt;&gt;"",C97&lt;B97),"Cruza la medianoche. ","")&amp;IF(LEN(TRIM(F97))&lt;15,"Sin descripción suficiente. ","")&amp;IF(AND(ISERROR(SEARCH("R-0",F97)),ISERROR(SEARCH("CU-",F97))),"Sin ticket. ","")&amp;IF(ISNA(MATCH(E97,Datos!$E$8:$E$22,0)),"Proyecto sin valor hora. ","")&amp;IF(ISNA(MATCH(D97,Datos!$A$8:$A$22,0)),"Persona fuera del equipo. ","")))</f>
        <v/>
      </c>
      <c r="I97" s="21" t="n"/>
      <c r="J97" s="22" t="n"/>
      <c r="K97" s="23">
        <f>IF(G97="","",IF(J97&lt;&gt;"",MIN(J97,G97),IF(OR(I97="Observada",I97="Rechazada"),0,G97)))</f>
        <v/>
      </c>
      <c r="L97" s="24" t="n"/>
      <c r="M97" s="25">
        <f>IF(OR(A97="",D97=""),0,IF(COUNTIFS($A$2:A97,A97,$D$2:D97,D97)=1,1,0))</f>
        <v/>
      </c>
    </row>
    <row r="98">
      <c r="A98" s="26" t="n"/>
      <c r="B98" s="27" t="n"/>
      <c r="C98" s="27" t="n"/>
      <c r="D98" s="28" t="n"/>
      <c r="E98" s="28" t="n"/>
      <c r="F98" s="29" t="n"/>
      <c r="G98" s="30" t="n"/>
      <c r="H98" s="20">
        <f>IF(A98="","",TRIM(IF(WEEKDAY(A98,2)&gt;5,"Fin de semana. ","")&amp;IF(SUMIFS($G$2:$G$601,$A$2:$A$601,A98,$D$2:$D$601,D98)&gt;9,"Más de 9 h en el día. ","")&amp;IF(AND(B98&lt;&gt;"",C98&lt;&gt;"",C98&lt;B98),"Cruza la medianoche. ","")&amp;IF(LEN(TRIM(F98))&lt;15,"Sin descripción suficiente. ","")&amp;IF(AND(ISERROR(SEARCH("R-0",F98)),ISERROR(SEARCH("CU-",F98))),"Sin ticket. ","")&amp;IF(ISNA(MATCH(E98,Datos!$E$8:$E$22,0)),"Proyecto sin valor hora. ","")&amp;IF(ISNA(MATCH(D98,Datos!$A$8:$A$22,0)),"Persona fuera del equipo. ","")))</f>
        <v/>
      </c>
      <c r="I98" s="21" t="n"/>
      <c r="J98" s="22" t="n"/>
      <c r="K98" s="23">
        <f>IF(G98="","",IF(J98&lt;&gt;"",MIN(J98,G98),IF(OR(I98="Observada",I98="Rechazada"),0,G98)))</f>
        <v/>
      </c>
      <c r="L98" s="24" t="n"/>
      <c r="M98" s="25">
        <f>IF(OR(A98="",D98=""),0,IF(COUNTIFS($A$2:A98,A98,$D$2:D98,D98)=1,1,0))</f>
        <v/>
      </c>
    </row>
    <row r="99">
      <c r="A99" s="26" t="n"/>
      <c r="B99" s="27" t="n"/>
      <c r="C99" s="27" t="n"/>
      <c r="D99" s="28" t="n"/>
      <c r="E99" s="28" t="n"/>
      <c r="F99" s="29" t="n"/>
      <c r="G99" s="30" t="n"/>
      <c r="H99" s="20">
        <f>IF(A99="","",TRIM(IF(WEEKDAY(A99,2)&gt;5,"Fin de semana. ","")&amp;IF(SUMIFS($G$2:$G$601,$A$2:$A$601,A99,$D$2:$D$601,D99)&gt;9,"Más de 9 h en el día. ","")&amp;IF(AND(B99&lt;&gt;"",C99&lt;&gt;"",C99&lt;B99),"Cruza la medianoche. ","")&amp;IF(LEN(TRIM(F99))&lt;15,"Sin descripción suficiente. ","")&amp;IF(AND(ISERROR(SEARCH("R-0",F99)),ISERROR(SEARCH("CU-",F99))),"Sin ticket. ","")&amp;IF(ISNA(MATCH(E99,Datos!$E$8:$E$22,0)),"Proyecto sin valor hora. ","")&amp;IF(ISNA(MATCH(D99,Datos!$A$8:$A$22,0)),"Persona fuera del equipo. ","")))</f>
        <v/>
      </c>
      <c r="I99" s="21" t="n"/>
      <c r="J99" s="22" t="n"/>
      <c r="K99" s="23">
        <f>IF(G99="","",IF(J99&lt;&gt;"",MIN(J99,G99),IF(OR(I99="Observada",I99="Rechazada"),0,G99)))</f>
        <v/>
      </c>
      <c r="L99" s="24" t="n"/>
      <c r="M99" s="25">
        <f>IF(OR(A99="",D99=""),0,IF(COUNTIFS($A$2:A99,A99,$D$2:D99,D99)=1,1,0))</f>
        <v/>
      </c>
    </row>
    <row r="100">
      <c r="A100" s="26" t="n"/>
      <c r="B100" s="27" t="n"/>
      <c r="C100" s="27" t="n"/>
      <c r="D100" s="28" t="n"/>
      <c r="E100" s="28" t="n"/>
      <c r="F100" s="29" t="n"/>
      <c r="G100" s="30" t="n"/>
      <c r="H100" s="20">
        <f>IF(A100="","",TRIM(IF(WEEKDAY(A100,2)&gt;5,"Fin de semana. ","")&amp;IF(SUMIFS($G$2:$G$601,$A$2:$A$601,A100,$D$2:$D$601,D100)&gt;9,"Más de 9 h en el día. ","")&amp;IF(AND(B100&lt;&gt;"",C100&lt;&gt;"",C100&lt;B100),"Cruza la medianoche. ","")&amp;IF(LEN(TRIM(F100))&lt;15,"Sin descripción suficiente. ","")&amp;IF(AND(ISERROR(SEARCH("R-0",F100)),ISERROR(SEARCH("CU-",F100))),"Sin ticket. ","")&amp;IF(ISNA(MATCH(E100,Datos!$E$8:$E$22,0)),"Proyecto sin valor hora. ","")&amp;IF(ISNA(MATCH(D100,Datos!$A$8:$A$22,0)),"Persona fuera del equipo. ","")))</f>
        <v/>
      </c>
      <c r="I100" s="21" t="n"/>
      <c r="J100" s="22" t="n"/>
      <c r="K100" s="23">
        <f>IF(G100="","",IF(J100&lt;&gt;"",MIN(J100,G100),IF(OR(I100="Observada",I100="Rechazada"),0,G100)))</f>
        <v/>
      </c>
      <c r="L100" s="24" t="n"/>
      <c r="M100" s="25">
        <f>IF(OR(A100="",D100=""),0,IF(COUNTIFS($A$2:A100,A100,$D$2:D100,D100)=1,1,0))</f>
        <v/>
      </c>
    </row>
    <row r="101">
      <c r="A101" s="26" t="n"/>
      <c r="B101" s="27" t="n"/>
      <c r="C101" s="27" t="n"/>
      <c r="D101" s="28" t="n"/>
      <c r="E101" s="28" t="n"/>
      <c r="F101" s="29" t="n"/>
      <c r="G101" s="30" t="n"/>
      <c r="H101" s="20">
        <f>IF(A101="","",TRIM(IF(WEEKDAY(A101,2)&gt;5,"Fin de semana. ","")&amp;IF(SUMIFS($G$2:$G$601,$A$2:$A$601,A101,$D$2:$D$601,D101)&gt;9,"Más de 9 h en el día. ","")&amp;IF(AND(B101&lt;&gt;"",C101&lt;&gt;"",C101&lt;B101),"Cruza la medianoche. ","")&amp;IF(LEN(TRIM(F101))&lt;15,"Sin descripción suficiente. ","")&amp;IF(AND(ISERROR(SEARCH("R-0",F101)),ISERROR(SEARCH("CU-",F101))),"Sin ticket. ","")&amp;IF(ISNA(MATCH(E101,Datos!$E$8:$E$22,0)),"Proyecto sin valor hora. ","")&amp;IF(ISNA(MATCH(D101,Datos!$A$8:$A$22,0)),"Persona fuera del equipo. ","")))</f>
        <v/>
      </c>
      <c r="I101" s="21" t="n"/>
      <c r="J101" s="22" t="n"/>
      <c r="K101" s="23">
        <f>IF(G101="","",IF(J101&lt;&gt;"",MIN(J101,G101),IF(OR(I101="Observada",I101="Rechazada"),0,G101)))</f>
        <v/>
      </c>
      <c r="L101" s="24" t="n"/>
      <c r="M101" s="25">
        <f>IF(OR(A101="",D101=""),0,IF(COUNTIFS($A$2:A101,A101,$D$2:D101,D101)=1,1,0))</f>
        <v/>
      </c>
    </row>
    <row r="102">
      <c r="A102" s="26" t="n"/>
      <c r="B102" s="27" t="n"/>
      <c r="C102" s="27" t="n"/>
      <c r="D102" s="28" t="n"/>
      <c r="E102" s="28" t="n"/>
      <c r="F102" s="29" t="n"/>
      <c r="G102" s="30" t="n"/>
      <c r="H102" s="20">
        <f>IF(A102="","",TRIM(IF(WEEKDAY(A102,2)&gt;5,"Fin de semana. ","")&amp;IF(SUMIFS($G$2:$G$601,$A$2:$A$601,A102,$D$2:$D$601,D102)&gt;9,"Más de 9 h en el día. ","")&amp;IF(AND(B102&lt;&gt;"",C102&lt;&gt;"",C102&lt;B102),"Cruza la medianoche. ","")&amp;IF(LEN(TRIM(F102))&lt;15,"Sin descripción suficiente. ","")&amp;IF(AND(ISERROR(SEARCH("R-0",F102)),ISERROR(SEARCH("CU-",F102))),"Sin ticket. ","")&amp;IF(ISNA(MATCH(E102,Datos!$E$8:$E$22,0)),"Proyecto sin valor hora. ","")&amp;IF(ISNA(MATCH(D102,Datos!$A$8:$A$22,0)),"Persona fuera del equipo. ","")))</f>
        <v/>
      </c>
      <c r="I102" s="21" t="n"/>
      <c r="J102" s="22" t="n"/>
      <c r="K102" s="23">
        <f>IF(G102="","",IF(J102&lt;&gt;"",MIN(J102,G102),IF(OR(I102="Observada",I102="Rechazada"),0,G102)))</f>
        <v/>
      </c>
      <c r="L102" s="24" t="n"/>
      <c r="M102" s="25">
        <f>IF(OR(A102="",D102=""),0,IF(COUNTIFS($A$2:A102,A102,$D$2:D102,D102)=1,1,0))</f>
        <v/>
      </c>
    </row>
    <row r="103">
      <c r="A103" s="26" t="n"/>
      <c r="B103" s="27" t="n"/>
      <c r="C103" s="27" t="n"/>
      <c r="D103" s="28" t="n"/>
      <c r="E103" s="28" t="n"/>
      <c r="F103" s="29" t="n"/>
      <c r="G103" s="30" t="n"/>
      <c r="H103" s="20">
        <f>IF(A103="","",TRIM(IF(WEEKDAY(A103,2)&gt;5,"Fin de semana. ","")&amp;IF(SUMIFS($G$2:$G$601,$A$2:$A$601,A103,$D$2:$D$601,D103)&gt;9,"Más de 9 h en el día. ","")&amp;IF(AND(B103&lt;&gt;"",C103&lt;&gt;"",C103&lt;B103),"Cruza la medianoche. ","")&amp;IF(LEN(TRIM(F103))&lt;15,"Sin descripción suficiente. ","")&amp;IF(AND(ISERROR(SEARCH("R-0",F103)),ISERROR(SEARCH("CU-",F103))),"Sin ticket. ","")&amp;IF(ISNA(MATCH(E103,Datos!$E$8:$E$22,0)),"Proyecto sin valor hora. ","")&amp;IF(ISNA(MATCH(D103,Datos!$A$8:$A$22,0)),"Persona fuera del equipo. ","")))</f>
        <v/>
      </c>
      <c r="I103" s="21" t="n"/>
      <c r="J103" s="22" t="n"/>
      <c r="K103" s="23">
        <f>IF(G103="","",IF(J103&lt;&gt;"",MIN(J103,G103),IF(OR(I103="Observada",I103="Rechazada"),0,G103)))</f>
        <v/>
      </c>
      <c r="L103" s="24" t="n"/>
      <c r="M103" s="25">
        <f>IF(OR(A103="",D103=""),0,IF(COUNTIFS($A$2:A103,A103,$D$2:D103,D103)=1,1,0))</f>
        <v/>
      </c>
    </row>
    <row r="104">
      <c r="A104" s="26" t="n"/>
      <c r="B104" s="27" t="n"/>
      <c r="C104" s="27" t="n"/>
      <c r="D104" s="28" t="n"/>
      <c r="E104" s="28" t="n"/>
      <c r="F104" s="29" t="n"/>
      <c r="G104" s="30" t="n"/>
      <c r="H104" s="20">
        <f>IF(A104="","",TRIM(IF(WEEKDAY(A104,2)&gt;5,"Fin de semana. ","")&amp;IF(SUMIFS($G$2:$G$601,$A$2:$A$601,A104,$D$2:$D$601,D104)&gt;9,"Más de 9 h en el día. ","")&amp;IF(AND(B104&lt;&gt;"",C104&lt;&gt;"",C104&lt;B104),"Cruza la medianoche. ","")&amp;IF(LEN(TRIM(F104))&lt;15,"Sin descripción suficiente. ","")&amp;IF(AND(ISERROR(SEARCH("R-0",F104)),ISERROR(SEARCH("CU-",F104))),"Sin ticket. ","")&amp;IF(ISNA(MATCH(E104,Datos!$E$8:$E$22,0)),"Proyecto sin valor hora. ","")&amp;IF(ISNA(MATCH(D104,Datos!$A$8:$A$22,0)),"Persona fuera del equipo. ","")))</f>
        <v/>
      </c>
      <c r="I104" s="21" t="n"/>
      <c r="J104" s="22" t="n"/>
      <c r="K104" s="23">
        <f>IF(G104="","",IF(J104&lt;&gt;"",MIN(J104,G104),IF(OR(I104="Observada",I104="Rechazada"),0,G104)))</f>
        <v/>
      </c>
      <c r="L104" s="24" t="n"/>
      <c r="M104" s="25">
        <f>IF(OR(A104="",D104=""),0,IF(COUNTIFS($A$2:A104,A104,$D$2:D104,D104)=1,1,0))</f>
        <v/>
      </c>
    </row>
    <row r="105">
      <c r="A105" s="26" t="n"/>
      <c r="B105" s="27" t="n"/>
      <c r="C105" s="27" t="n"/>
      <c r="D105" s="28" t="n"/>
      <c r="E105" s="28" t="n"/>
      <c r="F105" s="29" t="n"/>
      <c r="G105" s="30" t="n"/>
      <c r="H105" s="20">
        <f>IF(A105="","",TRIM(IF(WEEKDAY(A105,2)&gt;5,"Fin de semana. ","")&amp;IF(SUMIFS($G$2:$G$601,$A$2:$A$601,A105,$D$2:$D$601,D105)&gt;9,"Más de 9 h en el día. ","")&amp;IF(AND(B105&lt;&gt;"",C105&lt;&gt;"",C105&lt;B105),"Cruza la medianoche. ","")&amp;IF(LEN(TRIM(F105))&lt;15,"Sin descripción suficiente. ","")&amp;IF(AND(ISERROR(SEARCH("R-0",F105)),ISERROR(SEARCH("CU-",F105))),"Sin ticket. ","")&amp;IF(ISNA(MATCH(E105,Datos!$E$8:$E$22,0)),"Proyecto sin valor hora. ","")&amp;IF(ISNA(MATCH(D105,Datos!$A$8:$A$22,0)),"Persona fuera del equipo. ","")))</f>
        <v/>
      </c>
      <c r="I105" s="21" t="n"/>
      <c r="J105" s="22" t="n"/>
      <c r="K105" s="23">
        <f>IF(G105="","",IF(J105&lt;&gt;"",MIN(J105,G105),IF(OR(I105="Observada",I105="Rechazada"),0,G105)))</f>
        <v/>
      </c>
      <c r="L105" s="24" t="n"/>
      <c r="M105" s="25">
        <f>IF(OR(A105="",D105=""),0,IF(COUNTIFS($A$2:A105,A105,$D$2:D105,D105)=1,1,0))</f>
        <v/>
      </c>
    </row>
    <row r="106">
      <c r="A106" s="26" t="n"/>
      <c r="B106" s="27" t="n"/>
      <c r="C106" s="27" t="n"/>
      <c r="D106" s="28" t="n"/>
      <c r="E106" s="28" t="n"/>
      <c r="F106" s="29" t="n"/>
      <c r="G106" s="30" t="n"/>
      <c r="H106" s="20">
        <f>IF(A106="","",TRIM(IF(WEEKDAY(A106,2)&gt;5,"Fin de semana. ","")&amp;IF(SUMIFS($G$2:$G$601,$A$2:$A$601,A106,$D$2:$D$601,D106)&gt;9,"Más de 9 h en el día. ","")&amp;IF(AND(B106&lt;&gt;"",C106&lt;&gt;"",C106&lt;B106),"Cruza la medianoche. ","")&amp;IF(LEN(TRIM(F106))&lt;15,"Sin descripción suficiente. ","")&amp;IF(AND(ISERROR(SEARCH("R-0",F106)),ISERROR(SEARCH("CU-",F106))),"Sin ticket. ","")&amp;IF(ISNA(MATCH(E106,Datos!$E$8:$E$22,0)),"Proyecto sin valor hora. ","")&amp;IF(ISNA(MATCH(D106,Datos!$A$8:$A$22,0)),"Persona fuera del equipo. ","")))</f>
        <v/>
      </c>
      <c r="I106" s="21" t="n"/>
      <c r="J106" s="22" t="n"/>
      <c r="K106" s="23">
        <f>IF(G106="","",IF(J106&lt;&gt;"",MIN(J106,G106),IF(OR(I106="Observada",I106="Rechazada"),0,G106)))</f>
        <v/>
      </c>
      <c r="L106" s="24" t="n"/>
      <c r="M106" s="25">
        <f>IF(OR(A106="",D106=""),0,IF(COUNTIFS($A$2:A106,A106,$D$2:D106,D106)=1,1,0))</f>
        <v/>
      </c>
    </row>
    <row r="107">
      <c r="A107" s="26" t="n"/>
      <c r="B107" s="27" t="n"/>
      <c r="C107" s="27" t="n"/>
      <c r="D107" s="28" t="n"/>
      <c r="E107" s="28" t="n"/>
      <c r="F107" s="29" t="n"/>
      <c r="G107" s="30" t="n"/>
      <c r="H107" s="20">
        <f>IF(A107="","",TRIM(IF(WEEKDAY(A107,2)&gt;5,"Fin de semana. ","")&amp;IF(SUMIFS($G$2:$G$601,$A$2:$A$601,A107,$D$2:$D$601,D107)&gt;9,"Más de 9 h en el día. ","")&amp;IF(AND(B107&lt;&gt;"",C107&lt;&gt;"",C107&lt;B107),"Cruza la medianoche. ","")&amp;IF(LEN(TRIM(F107))&lt;15,"Sin descripción suficiente. ","")&amp;IF(AND(ISERROR(SEARCH("R-0",F107)),ISERROR(SEARCH("CU-",F107))),"Sin ticket. ","")&amp;IF(ISNA(MATCH(E107,Datos!$E$8:$E$22,0)),"Proyecto sin valor hora. ","")&amp;IF(ISNA(MATCH(D107,Datos!$A$8:$A$22,0)),"Persona fuera del equipo. ","")))</f>
        <v/>
      </c>
      <c r="I107" s="21" t="n"/>
      <c r="J107" s="22" t="n"/>
      <c r="K107" s="23">
        <f>IF(G107="","",IF(J107&lt;&gt;"",MIN(J107,G107),IF(OR(I107="Observada",I107="Rechazada"),0,G107)))</f>
        <v/>
      </c>
      <c r="L107" s="24" t="n"/>
      <c r="M107" s="25">
        <f>IF(OR(A107="",D107=""),0,IF(COUNTIFS($A$2:A107,A107,$D$2:D107,D107)=1,1,0))</f>
        <v/>
      </c>
    </row>
    <row r="108">
      <c r="A108" s="26" t="n"/>
      <c r="B108" s="27" t="n"/>
      <c r="C108" s="27" t="n"/>
      <c r="D108" s="28" t="n"/>
      <c r="E108" s="28" t="n"/>
      <c r="F108" s="29" t="n"/>
      <c r="G108" s="30" t="n"/>
      <c r="H108" s="20">
        <f>IF(A108="","",TRIM(IF(WEEKDAY(A108,2)&gt;5,"Fin de semana. ","")&amp;IF(SUMIFS($G$2:$G$601,$A$2:$A$601,A108,$D$2:$D$601,D108)&gt;9,"Más de 9 h en el día. ","")&amp;IF(AND(B108&lt;&gt;"",C108&lt;&gt;"",C108&lt;B108),"Cruza la medianoche. ","")&amp;IF(LEN(TRIM(F108))&lt;15,"Sin descripción suficiente. ","")&amp;IF(AND(ISERROR(SEARCH("R-0",F108)),ISERROR(SEARCH("CU-",F108))),"Sin ticket. ","")&amp;IF(ISNA(MATCH(E108,Datos!$E$8:$E$22,0)),"Proyecto sin valor hora. ","")&amp;IF(ISNA(MATCH(D108,Datos!$A$8:$A$22,0)),"Persona fuera del equipo. ","")))</f>
        <v/>
      </c>
      <c r="I108" s="21" t="n"/>
      <c r="J108" s="22" t="n"/>
      <c r="K108" s="23">
        <f>IF(G108="","",IF(J108&lt;&gt;"",MIN(J108,G108),IF(OR(I108="Observada",I108="Rechazada"),0,G108)))</f>
        <v/>
      </c>
      <c r="L108" s="24" t="n"/>
      <c r="M108" s="25">
        <f>IF(OR(A108="",D108=""),0,IF(COUNTIFS($A$2:A108,A108,$D$2:D108,D108)=1,1,0))</f>
        <v/>
      </c>
    </row>
    <row r="109">
      <c r="A109" s="26" t="n"/>
      <c r="B109" s="27" t="n"/>
      <c r="C109" s="27" t="n"/>
      <c r="D109" s="28" t="n"/>
      <c r="E109" s="28" t="n"/>
      <c r="F109" s="29" t="n"/>
      <c r="G109" s="30" t="n"/>
      <c r="H109" s="20">
        <f>IF(A109="","",TRIM(IF(WEEKDAY(A109,2)&gt;5,"Fin de semana. ","")&amp;IF(SUMIFS($G$2:$G$601,$A$2:$A$601,A109,$D$2:$D$601,D109)&gt;9,"Más de 9 h en el día. ","")&amp;IF(AND(B109&lt;&gt;"",C109&lt;&gt;"",C109&lt;B109),"Cruza la medianoche. ","")&amp;IF(LEN(TRIM(F109))&lt;15,"Sin descripción suficiente. ","")&amp;IF(AND(ISERROR(SEARCH("R-0",F109)),ISERROR(SEARCH("CU-",F109))),"Sin ticket. ","")&amp;IF(ISNA(MATCH(E109,Datos!$E$8:$E$22,0)),"Proyecto sin valor hora. ","")&amp;IF(ISNA(MATCH(D109,Datos!$A$8:$A$22,0)),"Persona fuera del equipo. ","")))</f>
        <v/>
      </c>
      <c r="I109" s="21" t="n"/>
      <c r="J109" s="22" t="n"/>
      <c r="K109" s="23">
        <f>IF(G109="","",IF(J109&lt;&gt;"",MIN(J109,G109),IF(OR(I109="Observada",I109="Rechazada"),0,G109)))</f>
        <v/>
      </c>
      <c r="L109" s="24" t="n"/>
      <c r="M109" s="25">
        <f>IF(OR(A109="",D109=""),0,IF(COUNTIFS($A$2:A109,A109,$D$2:D109,D109)=1,1,0))</f>
        <v/>
      </c>
    </row>
    <row r="110">
      <c r="A110" s="26" t="n"/>
      <c r="B110" s="27" t="n"/>
      <c r="C110" s="27" t="n"/>
      <c r="D110" s="28" t="n"/>
      <c r="E110" s="28" t="n"/>
      <c r="F110" s="29" t="n"/>
      <c r="G110" s="30" t="n"/>
      <c r="H110" s="20">
        <f>IF(A110="","",TRIM(IF(WEEKDAY(A110,2)&gt;5,"Fin de semana. ","")&amp;IF(SUMIFS($G$2:$G$601,$A$2:$A$601,A110,$D$2:$D$601,D110)&gt;9,"Más de 9 h en el día. ","")&amp;IF(AND(B110&lt;&gt;"",C110&lt;&gt;"",C110&lt;B110),"Cruza la medianoche. ","")&amp;IF(LEN(TRIM(F110))&lt;15,"Sin descripción suficiente. ","")&amp;IF(AND(ISERROR(SEARCH("R-0",F110)),ISERROR(SEARCH("CU-",F110))),"Sin ticket. ","")&amp;IF(ISNA(MATCH(E110,Datos!$E$8:$E$22,0)),"Proyecto sin valor hora. ","")&amp;IF(ISNA(MATCH(D110,Datos!$A$8:$A$22,0)),"Persona fuera del equipo. ","")))</f>
        <v/>
      </c>
      <c r="I110" s="21" t="n"/>
      <c r="J110" s="22" t="n"/>
      <c r="K110" s="23">
        <f>IF(G110="","",IF(J110&lt;&gt;"",MIN(J110,G110),IF(OR(I110="Observada",I110="Rechazada"),0,G110)))</f>
        <v/>
      </c>
      <c r="L110" s="24" t="n"/>
      <c r="M110" s="25">
        <f>IF(OR(A110="",D110=""),0,IF(COUNTIFS($A$2:A110,A110,$D$2:D110,D110)=1,1,0))</f>
        <v/>
      </c>
    </row>
    <row r="111">
      <c r="A111" s="26" t="n"/>
      <c r="B111" s="27" t="n"/>
      <c r="C111" s="27" t="n"/>
      <c r="D111" s="28" t="n"/>
      <c r="E111" s="28" t="n"/>
      <c r="F111" s="29" t="n"/>
      <c r="G111" s="30" t="n"/>
      <c r="H111" s="20">
        <f>IF(A111="","",TRIM(IF(WEEKDAY(A111,2)&gt;5,"Fin de semana. ","")&amp;IF(SUMIFS($G$2:$G$601,$A$2:$A$601,A111,$D$2:$D$601,D111)&gt;9,"Más de 9 h en el día. ","")&amp;IF(AND(B111&lt;&gt;"",C111&lt;&gt;"",C111&lt;B111),"Cruza la medianoche. ","")&amp;IF(LEN(TRIM(F111))&lt;15,"Sin descripción suficiente. ","")&amp;IF(AND(ISERROR(SEARCH("R-0",F111)),ISERROR(SEARCH("CU-",F111))),"Sin ticket. ","")&amp;IF(ISNA(MATCH(E111,Datos!$E$8:$E$22,0)),"Proyecto sin valor hora. ","")&amp;IF(ISNA(MATCH(D111,Datos!$A$8:$A$22,0)),"Persona fuera del equipo. ","")))</f>
        <v/>
      </c>
      <c r="I111" s="21" t="n"/>
      <c r="J111" s="22" t="n"/>
      <c r="K111" s="23">
        <f>IF(G111="","",IF(J111&lt;&gt;"",MIN(J111,G111),IF(OR(I111="Observada",I111="Rechazada"),0,G111)))</f>
        <v/>
      </c>
      <c r="L111" s="24" t="n"/>
      <c r="M111" s="25">
        <f>IF(OR(A111="",D111=""),0,IF(COUNTIFS($A$2:A111,A111,$D$2:D111,D111)=1,1,0))</f>
        <v/>
      </c>
    </row>
    <row r="112">
      <c r="A112" s="26" t="n"/>
      <c r="B112" s="27" t="n"/>
      <c r="C112" s="27" t="n"/>
      <c r="D112" s="28" t="n"/>
      <c r="E112" s="28" t="n"/>
      <c r="F112" s="29" t="n"/>
      <c r="G112" s="30" t="n"/>
      <c r="H112" s="20">
        <f>IF(A112="","",TRIM(IF(WEEKDAY(A112,2)&gt;5,"Fin de semana. ","")&amp;IF(SUMIFS($G$2:$G$601,$A$2:$A$601,A112,$D$2:$D$601,D112)&gt;9,"Más de 9 h en el día. ","")&amp;IF(AND(B112&lt;&gt;"",C112&lt;&gt;"",C112&lt;B112),"Cruza la medianoche. ","")&amp;IF(LEN(TRIM(F112))&lt;15,"Sin descripción suficiente. ","")&amp;IF(AND(ISERROR(SEARCH("R-0",F112)),ISERROR(SEARCH("CU-",F112))),"Sin ticket. ","")&amp;IF(ISNA(MATCH(E112,Datos!$E$8:$E$22,0)),"Proyecto sin valor hora. ","")&amp;IF(ISNA(MATCH(D112,Datos!$A$8:$A$22,0)),"Persona fuera del equipo. ","")))</f>
        <v/>
      </c>
      <c r="I112" s="21" t="n"/>
      <c r="J112" s="22" t="n"/>
      <c r="K112" s="23">
        <f>IF(G112="","",IF(J112&lt;&gt;"",MIN(J112,G112),IF(OR(I112="Observada",I112="Rechazada"),0,G112)))</f>
        <v/>
      </c>
      <c r="L112" s="24" t="n"/>
      <c r="M112" s="25">
        <f>IF(OR(A112="",D112=""),0,IF(COUNTIFS($A$2:A112,A112,$D$2:D112,D112)=1,1,0))</f>
        <v/>
      </c>
    </row>
    <row r="113">
      <c r="A113" s="26" t="n"/>
      <c r="B113" s="27" t="n"/>
      <c r="C113" s="27" t="n"/>
      <c r="D113" s="28" t="n"/>
      <c r="E113" s="28" t="n"/>
      <c r="F113" s="29" t="n"/>
      <c r="G113" s="30" t="n"/>
      <c r="H113" s="20">
        <f>IF(A113="","",TRIM(IF(WEEKDAY(A113,2)&gt;5,"Fin de semana. ","")&amp;IF(SUMIFS($G$2:$G$601,$A$2:$A$601,A113,$D$2:$D$601,D113)&gt;9,"Más de 9 h en el día. ","")&amp;IF(AND(B113&lt;&gt;"",C113&lt;&gt;"",C113&lt;B113),"Cruza la medianoche. ","")&amp;IF(LEN(TRIM(F113))&lt;15,"Sin descripción suficiente. ","")&amp;IF(AND(ISERROR(SEARCH("R-0",F113)),ISERROR(SEARCH("CU-",F113))),"Sin ticket. ","")&amp;IF(ISNA(MATCH(E113,Datos!$E$8:$E$22,0)),"Proyecto sin valor hora. ","")&amp;IF(ISNA(MATCH(D113,Datos!$A$8:$A$22,0)),"Persona fuera del equipo. ","")))</f>
        <v/>
      </c>
      <c r="I113" s="21" t="n"/>
      <c r="J113" s="22" t="n"/>
      <c r="K113" s="23">
        <f>IF(G113="","",IF(J113&lt;&gt;"",MIN(J113,G113),IF(OR(I113="Observada",I113="Rechazada"),0,G113)))</f>
        <v/>
      </c>
      <c r="L113" s="24" t="n"/>
      <c r="M113" s="25">
        <f>IF(OR(A113="",D113=""),0,IF(COUNTIFS($A$2:A113,A113,$D$2:D113,D113)=1,1,0))</f>
        <v/>
      </c>
    </row>
    <row r="114">
      <c r="A114" s="26" t="n"/>
      <c r="B114" s="27" t="n"/>
      <c r="C114" s="27" t="n"/>
      <c r="D114" s="28" t="n"/>
      <c r="E114" s="28" t="n"/>
      <c r="F114" s="29" t="n"/>
      <c r="G114" s="30" t="n"/>
      <c r="H114" s="20">
        <f>IF(A114="","",TRIM(IF(WEEKDAY(A114,2)&gt;5,"Fin de semana. ","")&amp;IF(SUMIFS($G$2:$G$601,$A$2:$A$601,A114,$D$2:$D$601,D114)&gt;9,"Más de 9 h en el día. ","")&amp;IF(AND(B114&lt;&gt;"",C114&lt;&gt;"",C114&lt;B114),"Cruza la medianoche. ","")&amp;IF(LEN(TRIM(F114))&lt;15,"Sin descripción suficiente. ","")&amp;IF(AND(ISERROR(SEARCH("R-0",F114)),ISERROR(SEARCH("CU-",F114))),"Sin ticket. ","")&amp;IF(ISNA(MATCH(E114,Datos!$E$8:$E$22,0)),"Proyecto sin valor hora. ","")&amp;IF(ISNA(MATCH(D114,Datos!$A$8:$A$22,0)),"Persona fuera del equipo. ","")))</f>
        <v/>
      </c>
      <c r="I114" s="21" t="n"/>
      <c r="J114" s="22" t="n"/>
      <c r="K114" s="23">
        <f>IF(G114="","",IF(J114&lt;&gt;"",MIN(J114,G114),IF(OR(I114="Observada",I114="Rechazada"),0,G114)))</f>
        <v/>
      </c>
      <c r="L114" s="24" t="n"/>
      <c r="M114" s="25">
        <f>IF(OR(A114="",D114=""),0,IF(COUNTIFS($A$2:A114,A114,$D$2:D114,D114)=1,1,0))</f>
        <v/>
      </c>
    </row>
    <row r="115">
      <c r="A115" s="26" t="n"/>
      <c r="B115" s="27" t="n"/>
      <c r="C115" s="27" t="n"/>
      <c r="D115" s="28" t="n"/>
      <c r="E115" s="28" t="n"/>
      <c r="F115" s="29" t="n"/>
      <c r="G115" s="30" t="n"/>
      <c r="H115" s="20">
        <f>IF(A115="","",TRIM(IF(WEEKDAY(A115,2)&gt;5,"Fin de semana. ","")&amp;IF(SUMIFS($G$2:$G$601,$A$2:$A$601,A115,$D$2:$D$601,D115)&gt;9,"Más de 9 h en el día. ","")&amp;IF(AND(B115&lt;&gt;"",C115&lt;&gt;"",C115&lt;B115),"Cruza la medianoche. ","")&amp;IF(LEN(TRIM(F115))&lt;15,"Sin descripción suficiente. ","")&amp;IF(AND(ISERROR(SEARCH("R-0",F115)),ISERROR(SEARCH("CU-",F115))),"Sin ticket. ","")&amp;IF(ISNA(MATCH(E115,Datos!$E$8:$E$22,0)),"Proyecto sin valor hora. ","")&amp;IF(ISNA(MATCH(D115,Datos!$A$8:$A$22,0)),"Persona fuera del equipo. ","")))</f>
        <v/>
      </c>
      <c r="I115" s="21" t="n"/>
      <c r="J115" s="22" t="n"/>
      <c r="K115" s="23">
        <f>IF(G115="","",IF(J115&lt;&gt;"",MIN(J115,G115),IF(OR(I115="Observada",I115="Rechazada"),0,G115)))</f>
        <v/>
      </c>
      <c r="L115" s="24" t="n"/>
      <c r="M115" s="25">
        <f>IF(OR(A115="",D115=""),0,IF(COUNTIFS($A$2:A115,A115,$D$2:D115,D115)=1,1,0))</f>
        <v/>
      </c>
    </row>
    <row r="116">
      <c r="A116" s="26" t="n"/>
      <c r="B116" s="27" t="n"/>
      <c r="C116" s="27" t="n"/>
      <c r="D116" s="28" t="n"/>
      <c r="E116" s="28" t="n"/>
      <c r="F116" s="29" t="n"/>
      <c r="G116" s="30" t="n"/>
      <c r="H116" s="20">
        <f>IF(A116="","",TRIM(IF(WEEKDAY(A116,2)&gt;5,"Fin de semana. ","")&amp;IF(SUMIFS($G$2:$G$601,$A$2:$A$601,A116,$D$2:$D$601,D116)&gt;9,"Más de 9 h en el día. ","")&amp;IF(AND(B116&lt;&gt;"",C116&lt;&gt;"",C116&lt;B116),"Cruza la medianoche. ","")&amp;IF(LEN(TRIM(F116))&lt;15,"Sin descripción suficiente. ","")&amp;IF(AND(ISERROR(SEARCH("R-0",F116)),ISERROR(SEARCH("CU-",F116))),"Sin ticket. ","")&amp;IF(ISNA(MATCH(E116,Datos!$E$8:$E$22,0)),"Proyecto sin valor hora. ","")&amp;IF(ISNA(MATCH(D116,Datos!$A$8:$A$22,0)),"Persona fuera del equipo. ","")))</f>
        <v/>
      </c>
      <c r="I116" s="21" t="n"/>
      <c r="J116" s="22" t="n"/>
      <c r="K116" s="23">
        <f>IF(G116="","",IF(J116&lt;&gt;"",MIN(J116,G116),IF(OR(I116="Observada",I116="Rechazada"),0,G116)))</f>
        <v/>
      </c>
      <c r="L116" s="24" t="n"/>
      <c r="M116" s="25">
        <f>IF(OR(A116="",D116=""),0,IF(COUNTIFS($A$2:A116,A116,$D$2:D116,D116)=1,1,0))</f>
        <v/>
      </c>
    </row>
    <row r="117">
      <c r="A117" s="26" t="n"/>
      <c r="B117" s="27" t="n"/>
      <c r="C117" s="27" t="n"/>
      <c r="D117" s="28" t="n"/>
      <c r="E117" s="28" t="n"/>
      <c r="F117" s="29" t="n"/>
      <c r="G117" s="30" t="n"/>
      <c r="H117" s="20">
        <f>IF(A117="","",TRIM(IF(WEEKDAY(A117,2)&gt;5,"Fin de semana. ","")&amp;IF(SUMIFS($G$2:$G$601,$A$2:$A$601,A117,$D$2:$D$601,D117)&gt;9,"Más de 9 h en el día. ","")&amp;IF(AND(B117&lt;&gt;"",C117&lt;&gt;"",C117&lt;B117),"Cruza la medianoche. ","")&amp;IF(LEN(TRIM(F117))&lt;15,"Sin descripción suficiente. ","")&amp;IF(AND(ISERROR(SEARCH("R-0",F117)),ISERROR(SEARCH("CU-",F117))),"Sin ticket. ","")&amp;IF(ISNA(MATCH(E117,Datos!$E$8:$E$22,0)),"Proyecto sin valor hora. ","")&amp;IF(ISNA(MATCH(D117,Datos!$A$8:$A$22,0)),"Persona fuera del equipo. ","")))</f>
        <v/>
      </c>
      <c r="I117" s="21" t="n"/>
      <c r="J117" s="22" t="n"/>
      <c r="K117" s="23">
        <f>IF(G117="","",IF(J117&lt;&gt;"",MIN(J117,G117),IF(OR(I117="Observada",I117="Rechazada"),0,G117)))</f>
        <v/>
      </c>
      <c r="L117" s="24" t="n"/>
      <c r="M117" s="25">
        <f>IF(OR(A117="",D117=""),0,IF(COUNTIFS($A$2:A117,A117,$D$2:D117,D117)=1,1,0))</f>
        <v/>
      </c>
    </row>
    <row r="118">
      <c r="A118" s="26" t="n"/>
      <c r="B118" s="27" t="n"/>
      <c r="C118" s="27" t="n"/>
      <c r="D118" s="28" t="n"/>
      <c r="E118" s="28" t="n"/>
      <c r="F118" s="29" t="n"/>
      <c r="G118" s="30" t="n"/>
      <c r="H118" s="20">
        <f>IF(A118="","",TRIM(IF(WEEKDAY(A118,2)&gt;5,"Fin de semana. ","")&amp;IF(SUMIFS($G$2:$G$601,$A$2:$A$601,A118,$D$2:$D$601,D118)&gt;9,"Más de 9 h en el día. ","")&amp;IF(AND(B118&lt;&gt;"",C118&lt;&gt;"",C118&lt;B118),"Cruza la medianoche. ","")&amp;IF(LEN(TRIM(F118))&lt;15,"Sin descripción suficiente. ","")&amp;IF(AND(ISERROR(SEARCH("R-0",F118)),ISERROR(SEARCH("CU-",F118))),"Sin ticket. ","")&amp;IF(ISNA(MATCH(E118,Datos!$E$8:$E$22,0)),"Proyecto sin valor hora. ","")&amp;IF(ISNA(MATCH(D118,Datos!$A$8:$A$22,0)),"Persona fuera del equipo. ","")))</f>
        <v/>
      </c>
      <c r="I118" s="21" t="n"/>
      <c r="J118" s="22" t="n"/>
      <c r="K118" s="23">
        <f>IF(G118="","",IF(J118&lt;&gt;"",MIN(J118,G118),IF(OR(I118="Observada",I118="Rechazada"),0,G118)))</f>
        <v/>
      </c>
      <c r="L118" s="24" t="n"/>
      <c r="M118" s="25">
        <f>IF(OR(A118="",D118=""),0,IF(COUNTIFS($A$2:A118,A118,$D$2:D118,D118)=1,1,0))</f>
        <v/>
      </c>
    </row>
    <row r="119">
      <c r="A119" s="26" t="n"/>
      <c r="B119" s="27" t="n"/>
      <c r="C119" s="27" t="n"/>
      <c r="D119" s="28" t="n"/>
      <c r="E119" s="28" t="n"/>
      <c r="F119" s="29" t="n"/>
      <c r="G119" s="30" t="n"/>
      <c r="H119" s="20">
        <f>IF(A119="","",TRIM(IF(WEEKDAY(A119,2)&gt;5,"Fin de semana. ","")&amp;IF(SUMIFS($G$2:$G$601,$A$2:$A$601,A119,$D$2:$D$601,D119)&gt;9,"Más de 9 h en el día. ","")&amp;IF(AND(B119&lt;&gt;"",C119&lt;&gt;"",C119&lt;B119),"Cruza la medianoche. ","")&amp;IF(LEN(TRIM(F119))&lt;15,"Sin descripción suficiente. ","")&amp;IF(AND(ISERROR(SEARCH("R-0",F119)),ISERROR(SEARCH("CU-",F119))),"Sin ticket. ","")&amp;IF(ISNA(MATCH(E119,Datos!$E$8:$E$22,0)),"Proyecto sin valor hora. ","")&amp;IF(ISNA(MATCH(D119,Datos!$A$8:$A$22,0)),"Persona fuera del equipo. ","")))</f>
        <v/>
      </c>
      <c r="I119" s="21" t="n"/>
      <c r="J119" s="22" t="n"/>
      <c r="K119" s="23">
        <f>IF(G119="","",IF(J119&lt;&gt;"",MIN(J119,G119),IF(OR(I119="Observada",I119="Rechazada"),0,G119)))</f>
        <v/>
      </c>
      <c r="L119" s="24" t="n"/>
      <c r="M119" s="25">
        <f>IF(OR(A119="",D119=""),0,IF(COUNTIFS($A$2:A119,A119,$D$2:D119,D119)=1,1,0))</f>
        <v/>
      </c>
    </row>
    <row r="120">
      <c r="A120" s="26" t="n"/>
      <c r="B120" s="27" t="n"/>
      <c r="C120" s="27" t="n"/>
      <c r="D120" s="28" t="n"/>
      <c r="E120" s="28" t="n"/>
      <c r="F120" s="29" t="n"/>
      <c r="G120" s="30" t="n"/>
      <c r="H120" s="20">
        <f>IF(A120="","",TRIM(IF(WEEKDAY(A120,2)&gt;5,"Fin de semana. ","")&amp;IF(SUMIFS($G$2:$G$601,$A$2:$A$601,A120,$D$2:$D$601,D120)&gt;9,"Más de 9 h en el día. ","")&amp;IF(AND(B120&lt;&gt;"",C120&lt;&gt;"",C120&lt;B120),"Cruza la medianoche. ","")&amp;IF(LEN(TRIM(F120))&lt;15,"Sin descripción suficiente. ","")&amp;IF(AND(ISERROR(SEARCH("R-0",F120)),ISERROR(SEARCH("CU-",F120))),"Sin ticket. ","")&amp;IF(ISNA(MATCH(E120,Datos!$E$8:$E$22,0)),"Proyecto sin valor hora. ","")&amp;IF(ISNA(MATCH(D120,Datos!$A$8:$A$22,0)),"Persona fuera del equipo. ","")))</f>
        <v/>
      </c>
      <c r="I120" s="21" t="n"/>
      <c r="J120" s="22" t="n"/>
      <c r="K120" s="23">
        <f>IF(G120="","",IF(J120&lt;&gt;"",MIN(J120,G120),IF(OR(I120="Observada",I120="Rechazada"),0,G120)))</f>
        <v/>
      </c>
      <c r="L120" s="24" t="n"/>
      <c r="M120" s="25">
        <f>IF(OR(A120="",D120=""),0,IF(COUNTIFS($A$2:A120,A120,$D$2:D120,D120)=1,1,0))</f>
        <v/>
      </c>
    </row>
    <row r="121">
      <c r="A121" s="26" t="n"/>
      <c r="B121" s="27" t="n"/>
      <c r="C121" s="27" t="n"/>
      <c r="D121" s="28" t="n"/>
      <c r="E121" s="28" t="n"/>
      <c r="F121" s="29" t="n"/>
      <c r="G121" s="30" t="n"/>
      <c r="H121" s="20">
        <f>IF(A121="","",TRIM(IF(WEEKDAY(A121,2)&gt;5,"Fin de semana. ","")&amp;IF(SUMIFS($G$2:$G$601,$A$2:$A$601,A121,$D$2:$D$601,D121)&gt;9,"Más de 9 h en el día. ","")&amp;IF(AND(B121&lt;&gt;"",C121&lt;&gt;"",C121&lt;B121),"Cruza la medianoche. ","")&amp;IF(LEN(TRIM(F121))&lt;15,"Sin descripción suficiente. ","")&amp;IF(AND(ISERROR(SEARCH("R-0",F121)),ISERROR(SEARCH("CU-",F121))),"Sin ticket. ","")&amp;IF(ISNA(MATCH(E121,Datos!$E$8:$E$22,0)),"Proyecto sin valor hora. ","")&amp;IF(ISNA(MATCH(D121,Datos!$A$8:$A$22,0)),"Persona fuera del equipo. ","")))</f>
        <v/>
      </c>
      <c r="I121" s="21" t="n"/>
      <c r="J121" s="22" t="n"/>
      <c r="K121" s="23">
        <f>IF(G121="","",IF(J121&lt;&gt;"",MIN(J121,G121),IF(OR(I121="Observada",I121="Rechazada"),0,G121)))</f>
        <v/>
      </c>
      <c r="L121" s="24" t="n"/>
      <c r="M121" s="25">
        <f>IF(OR(A121="",D121=""),0,IF(COUNTIFS($A$2:A121,A121,$D$2:D121,D121)=1,1,0))</f>
        <v/>
      </c>
    </row>
    <row r="122">
      <c r="A122" s="26" t="n"/>
      <c r="B122" s="27" t="n"/>
      <c r="C122" s="27" t="n"/>
      <c r="D122" s="28" t="n"/>
      <c r="E122" s="28" t="n"/>
      <c r="F122" s="29" t="n"/>
      <c r="G122" s="30" t="n"/>
      <c r="H122" s="20">
        <f>IF(A122="","",TRIM(IF(WEEKDAY(A122,2)&gt;5,"Fin de semana. ","")&amp;IF(SUMIFS($G$2:$G$601,$A$2:$A$601,A122,$D$2:$D$601,D122)&gt;9,"Más de 9 h en el día. ","")&amp;IF(AND(B122&lt;&gt;"",C122&lt;&gt;"",C122&lt;B122),"Cruza la medianoche. ","")&amp;IF(LEN(TRIM(F122))&lt;15,"Sin descripción suficiente. ","")&amp;IF(AND(ISERROR(SEARCH("R-0",F122)),ISERROR(SEARCH("CU-",F122))),"Sin ticket. ","")&amp;IF(ISNA(MATCH(E122,Datos!$E$8:$E$22,0)),"Proyecto sin valor hora. ","")&amp;IF(ISNA(MATCH(D122,Datos!$A$8:$A$22,0)),"Persona fuera del equipo. ","")))</f>
        <v/>
      </c>
      <c r="I122" s="21" t="n"/>
      <c r="J122" s="22" t="n"/>
      <c r="K122" s="23">
        <f>IF(G122="","",IF(J122&lt;&gt;"",MIN(J122,G122),IF(OR(I122="Observada",I122="Rechazada"),0,G122)))</f>
        <v/>
      </c>
      <c r="L122" s="24" t="n"/>
      <c r="M122" s="25">
        <f>IF(OR(A122="",D122=""),0,IF(COUNTIFS($A$2:A122,A122,$D$2:D122,D122)=1,1,0))</f>
        <v/>
      </c>
    </row>
    <row r="123">
      <c r="A123" s="26" t="n"/>
      <c r="B123" s="27" t="n"/>
      <c r="C123" s="27" t="n"/>
      <c r="D123" s="28" t="n"/>
      <c r="E123" s="28" t="n"/>
      <c r="F123" s="29" t="n"/>
      <c r="G123" s="30" t="n"/>
      <c r="H123" s="20">
        <f>IF(A123="","",TRIM(IF(WEEKDAY(A123,2)&gt;5,"Fin de semana. ","")&amp;IF(SUMIFS($G$2:$G$601,$A$2:$A$601,A123,$D$2:$D$601,D123)&gt;9,"Más de 9 h en el día. ","")&amp;IF(AND(B123&lt;&gt;"",C123&lt;&gt;"",C123&lt;B123),"Cruza la medianoche. ","")&amp;IF(LEN(TRIM(F123))&lt;15,"Sin descripción suficiente. ","")&amp;IF(AND(ISERROR(SEARCH("R-0",F123)),ISERROR(SEARCH("CU-",F123))),"Sin ticket. ","")&amp;IF(ISNA(MATCH(E123,Datos!$E$8:$E$22,0)),"Proyecto sin valor hora. ","")&amp;IF(ISNA(MATCH(D123,Datos!$A$8:$A$22,0)),"Persona fuera del equipo. ","")))</f>
        <v/>
      </c>
      <c r="I123" s="21" t="n"/>
      <c r="J123" s="22" t="n"/>
      <c r="K123" s="23">
        <f>IF(G123="","",IF(J123&lt;&gt;"",MIN(J123,G123),IF(OR(I123="Observada",I123="Rechazada"),0,G123)))</f>
        <v/>
      </c>
      <c r="L123" s="24" t="n"/>
      <c r="M123" s="25">
        <f>IF(OR(A123="",D123=""),0,IF(COUNTIFS($A$2:A123,A123,$D$2:D123,D123)=1,1,0))</f>
        <v/>
      </c>
    </row>
    <row r="124">
      <c r="A124" s="26" t="n"/>
      <c r="B124" s="27" t="n"/>
      <c r="C124" s="27" t="n"/>
      <c r="D124" s="28" t="n"/>
      <c r="E124" s="28" t="n"/>
      <c r="F124" s="29" t="n"/>
      <c r="G124" s="30" t="n"/>
      <c r="H124" s="20">
        <f>IF(A124="","",TRIM(IF(WEEKDAY(A124,2)&gt;5,"Fin de semana. ","")&amp;IF(SUMIFS($G$2:$G$601,$A$2:$A$601,A124,$D$2:$D$601,D124)&gt;9,"Más de 9 h en el día. ","")&amp;IF(AND(B124&lt;&gt;"",C124&lt;&gt;"",C124&lt;B124),"Cruza la medianoche. ","")&amp;IF(LEN(TRIM(F124))&lt;15,"Sin descripción suficiente. ","")&amp;IF(AND(ISERROR(SEARCH("R-0",F124)),ISERROR(SEARCH("CU-",F124))),"Sin ticket. ","")&amp;IF(ISNA(MATCH(E124,Datos!$E$8:$E$22,0)),"Proyecto sin valor hora. ","")&amp;IF(ISNA(MATCH(D124,Datos!$A$8:$A$22,0)),"Persona fuera del equipo. ","")))</f>
        <v/>
      </c>
      <c r="I124" s="21" t="n"/>
      <c r="J124" s="22" t="n"/>
      <c r="K124" s="23">
        <f>IF(G124="","",IF(J124&lt;&gt;"",MIN(J124,G124),IF(OR(I124="Observada",I124="Rechazada"),0,G124)))</f>
        <v/>
      </c>
      <c r="L124" s="24" t="n"/>
      <c r="M124" s="25">
        <f>IF(OR(A124="",D124=""),0,IF(COUNTIFS($A$2:A124,A124,$D$2:D124,D124)=1,1,0))</f>
        <v/>
      </c>
    </row>
    <row r="125">
      <c r="A125" s="26" t="n"/>
      <c r="B125" s="27" t="n"/>
      <c r="C125" s="27" t="n"/>
      <c r="D125" s="28" t="n"/>
      <c r="E125" s="28" t="n"/>
      <c r="F125" s="29" t="n"/>
      <c r="G125" s="30" t="n"/>
      <c r="H125" s="20">
        <f>IF(A125="","",TRIM(IF(WEEKDAY(A125,2)&gt;5,"Fin de semana. ","")&amp;IF(SUMIFS($G$2:$G$601,$A$2:$A$601,A125,$D$2:$D$601,D125)&gt;9,"Más de 9 h en el día. ","")&amp;IF(AND(B125&lt;&gt;"",C125&lt;&gt;"",C125&lt;B125),"Cruza la medianoche. ","")&amp;IF(LEN(TRIM(F125))&lt;15,"Sin descripción suficiente. ","")&amp;IF(AND(ISERROR(SEARCH("R-0",F125)),ISERROR(SEARCH("CU-",F125))),"Sin ticket. ","")&amp;IF(ISNA(MATCH(E125,Datos!$E$8:$E$22,0)),"Proyecto sin valor hora. ","")&amp;IF(ISNA(MATCH(D125,Datos!$A$8:$A$22,0)),"Persona fuera del equipo. ","")))</f>
        <v/>
      </c>
      <c r="I125" s="21" t="n"/>
      <c r="J125" s="22" t="n"/>
      <c r="K125" s="23">
        <f>IF(G125="","",IF(J125&lt;&gt;"",MIN(J125,G125),IF(OR(I125="Observada",I125="Rechazada"),0,G125)))</f>
        <v/>
      </c>
      <c r="L125" s="24" t="n"/>
      <c r="M125" s="25">
        <f>IF(OR(A125="",D125=""),0,IF(COUNTIFS($A$2:A125,A125,$D$2:D125,D125)=1,1,0))</f>
        <v/>
      </c>
    </row>
    <row r="126">
      <c r="A126" s="26" t="n"/>
      <c r="B126" s="27" t="n"/>
      <c r="C126" s="27" t="n"/>
      <c r="D126" s="28" t="n"/>
      <c r="E126" s="28" t="n"/>
      <c r="F126" s="29" t="n"/>
      <c r="G126" s="30" t="n"/>
      <c r="H126" s="20">
        <f>IF(A126="","",TRIM(IF(WEEKDAY(A126,2)&gt;5,"Fin de semana. ","")&amp;IF(SUMIFS($G$2:$G$601,$A$2:$A$601,A126,$D$2:$D$601,D126)&gt;9,"Más de 9 h en el día. ","")&amp;IF(AND(B126&lt;&gt;"",C126&lt;&gt;"",C126&lt;B126),"Cruza la medianoche. ","")&amp;IF(LEN(TRIM(F126))&lt;15,"Sin descripción suficiente. ","")&amp;IF(AND(ISERROR(SEARCH("R-0",F126)),ISERROR(SEARCH("CU-",F126))),"Sin ticket. ","")&amp;IF(ISNA(MATCH(E126,Datos!$E$8:$E$22,0)),"Proyecto sin valor hora. ","")&amp;IF(ISNA(MATCH(D126,Datos!$A$8:$A$22,0)),"Persona fuera del equipo. ","")))</f>
        <v/>
      </c>
      <c r="I126" s="21" t="n"/>
      <c r="J126" s="22" t="n"/>
      <c r="K126" s="23">
        <f>IF(G126="","",IF(J126&lt;&gt;"",MIN(J126,G126),IF(OR(I126="Observada",I126="Rechazada"),0,G126)))</f>
        <v/>
      </c>
      <c r="L126" s="24" t="n"/>
      <c r="M126" s="25">
        <f>IF(OR(A126="",D126=""),0,IF(COUNTIFS($A$2:A126,A126,$D$2:D126,D126)=1,1,0))</f>
        <v/>
      </c>
    </row>
    <row r="127">
      <c r="A127" s="26" t="n"/>
      <c r="B127" s="27" t="n"/>
      <c r="C127" s="27" t="n"/>
      <c r="D127" s="28" t="n"/>
      <c r="E127" s="28" t="n"/>
      <c r="F127" s="29" t="n"/>
      <c r="G127" s="30" t="n"/>
      <c r="H127" s="20">
        <f>IF(A127="","",TRIM(IF(WEEKDAY(A127,2)&gt;5,"Fin de semana. ","")&amp;IF(SUMIFS($G$2:$G$601,$A$2:$A$601,A127,$D$2:$D$601,D127)&gt;9,"Más de 9 h en el día. ","")&amp;IF(AND(B127&lt;&gt;"",C127&lt;&gt;"",C127&lt;B127),"Cruza la medianoche. ","")&amp;IF(LEN(TRIM(F127))&lt;15,"Sin descripción suficiente. ","")&amp;IF(AND(ISERROR(SEARCH("R-0",F127)),ISERROR(SEARCH("CU-",F127))),"Sin ticket. ","")&amp;IF(ISNA(MATCH(E127,Datos!$E$8:$E$22,0)),"Proyecto sin valor hora. ","")&amp;IF(ISNA(MATCH(D127,Datos!$A$8:$A$22,0)),"Persona fuera del equipo. ","")))</f>
        <v/>
      </c>
      <c r="I127" s="21" t="n"/>
      <c r="J127" s="22" t="n"/>
      <c r="K127" s="23">
        <f>IF(G127="","",IF(J127&lt;&gt;"",MIN(J127,G127),IF(OR(I127="Observada",I127="Rechazada"),0,G127)))</f>
        <v/>
      </c>
      <c r="L127" s="24" t="n"/>
      <c r="M127" s="25">
        <f>IF(OR(A127="",D127=""),0,IF(COUNTIFS($A$2:A127,A127,$D$2:D127,D127)=1,1,0))</f>
        <v/>
      </c>
    </row>
    <row r="128">
      <c r="A128" s="26" t="n"/>
      <c r="B128" s="27" t="n"/>
      <c r="C128" s="27" t="n"/>
      <c r="D128" s="28" t="n"/>
      <c r="E128" s="28" t="n"/>
      <c r="F128" s="29" t="n"/>
      <c r="G128" s="30" t="n"/>
      <c r="H128" s="20">
        <f>IF(A128="","",TRIM(IF(WEEKDAY(A128,2)&gt;5,"Fin de semana. ","")&amp;IF(SUMIFS($G$2:$G$601,$A$2:$A$601,A128,$D$2:$D$601,D128)&gt;9,"Más de 9 h en el día. ","")&amp;IF(AND(B128&lt;&gt;"",C128&lt;&gt;"",C128&lt;B128),"Cruza la medianoche. ","")&amp;IF(LEN(TRIM(F128))&lt;15,"Sin descripción suficiente. ","")&amp;IF(AND(ISERROR(SEARCH("R-0",F128)),ISERROR(SEARCH("CU-",F128))),"Sin ticket. ","")&amp;IF(ISNA(MATCH(E128,Datos!$E$8:$E$22,0)),"Proyecto sin valor hora. ","")&amp;IF(ISNA(MATCH(D128,Datos!$A$8:$A$22,0)),"Persona fuera del equipo. ","")))</f>
        <v/>
      </c>
      <c r="I128" s="21" t="n"/>
      <c r="J128" s="22" t="n"/>
      <c r="K128" s="23">
        <f>IF(G128="","",IF(J128&lt;&gt;"",MIN(J128,G128),IF(OR(I128="Observada",I128="Rechazada"),0,G128)))</f>
        <v/>
      </c>
      <c r="L128" s="24" t="n"/>
      <c r="M128" s="25">
        <f>IF(OR(A128="",D128=""),0,IF(COUNTIFS($A$2:A128,A128,$D$2:D128,D128)=1,1,0))</f>
        <v/>
      </c>
    </row>
    <row r="129">
      <c r="A129" s="26" t="n"/>
      <c r="B129" s="27" t="n"/>
      <c r="C129" s="27" t="n"/>
      <c r="D129" s="28" t="n"/>
      <c r="E129" s="28" t="n"/>
      <c r="F129" s="29" t="n"/>
      <c r="G129" s="30" t="n"/>
      <c r="H129" s="20">
        <f>IF(A129="","",TRIM(IF(WEEKDAY(A129,2)&gt;5,"Fin de semana. ","")&amp;IF(SUMIFS($G$2:$G$601,$A$2:$A$601,A129,$D$2:$D$601,D129)&gt;9,"Más de 9 h en el día. ","")&amp;IF(AND(B129&lt;&gt;"",C129&lt;&gt;"",C129&lt;B129),"Cruza la medianoche. ","")&amp;IF(LEN(TRIM(F129))&lt;15,"Sin descripción suficiente. ","")&amp;IF(AND(ISERROR(SEARCH("R-0",F129)),ISERROR(SEARCH("CU-",F129))),"Sin ticket. ","")&amp;IF(ISNA(MATCH(E129,Datos!$E$8:$E$22,0)),"Proyecto sin valor hora. ","")&amp;IF(ISNA(MATCH(D129,Datos!$A$8:$A$22,0)),"Persona fuera del equipo. ","")))</f>
        <v/>
      </c>
      <c r="I129" s="21" t="n"/>
      <c r="J129" s="22" t="n"/>
      <c r="K129" s="23">
        <f>IF(G129="","",IF(J129&lt;&gt;"",MIN(J129,G129),IF(OR(I129="Observada",I129="Rechazada"),0,G129)))</f>
        <v/>
      </c>
      <c r="L129" s="24" t="n"/>
      <c r="M129" s="25">
        <f>IF(OR(A129="",D129=""),0,IF(COUNTIFS($A$2:A129,A129,$D$2:D129,D129)=1,1,0))</f>
        <v/>
      </c>
    </row>
    <row r="130">
      <c r="A130" s="26" t="n"/>
      <c r="B130" s="27" t="n"/>
      <c r="C130" s="27" t="n"/>
      <c r="D130" s="28" t="n"/>
      <c r="E130" s="28" t="n"/>
      <c r="F130" s="29" t="n"/>
      <c r="G130" s="30" t="n"/>
      <c r="H130" s="20">
        <f>IF(A130="","",TRIM(IF(WEEKDAY(A130,2)&gt;5,"Fin de semana. ","")&amp;IF(SUMIFS($G$2:$G$601,$A$2:$A$601,A130,$D$2:$D$601,D130)&gt;9,"Más de 9 h en el día. ","")&amp;IF(AND(B130&lt;&gt;"",C130&lt;&gt;"",C130&lt;B130),"Cruza la medianoche. ","")&amp;IF(LEN(TRIM(F130))&lt;15,"Sin descripción suficiente. ","")&amp;IF(AND(ISERROR(SEARCH("R-0",F130)),ISERROR(SEARCH("CU-",F130))),"Sin ticket. ","")&amp;IF(ISNA(MATCH(E130,Datos!$E$8:$E$22,0)),"Proyecto sin valor hora. ","")&amp;IF(ISNA(MATCH(D130,Datos!$A$8:$A$22,0)),"Persona fuera del equipo. ","")))</f>
        <v/>
      </c>
      <c r="I130" s="21" t="n"/>
      <c r="J130" s="22" t="n"/>
      <c r="K130" s="23">
        <f>IF(G130="","",IF(J130&lt;&gt;"",MIN(J130,G130),IF(OR(I130="Observada",I130="Rechazada"),0,G130)))</f>
        <v/>
      </c>
      <c r="L130" s="24" t="n"/>
      <c r="M130" s="25">
        <f>IF(OR(A130="",D130=""),0,IF(COUNTIFS($A$2:A130,A130,$D$2:D130,D130)=1,1,0))</f>
        <v/>
      </c>
    </row>
    <row r="131">
      <c r="A131" s="26" t="n"/>
      <c r="B131" s="27" t="n"/>
      <c r="C131" s="27" t="n"/>
      <c r="D131" s="28" t="n"/>
      <c r="E131" s="28" t="n"/>
      <c r="F131" s="29" t="n"/>
      <c r="G131" s="30" t="n"/>
      <c r="H131" s="20">
        <f>IF(A131="","",TRIM(IF(WEEKDAY(A131,2)&gt;5,"Fin de semana. ","")&amp;IF(SUMIFS($G$2:$G$601,$A$2:$A$601,A131,$D$2:$D$601,D131)&gt;9,"Más de 9 h en el día. ","")&amp;IF(AND(B131&lt;&gt;"",C131&lt;&gt;"",C131&lt;B131),"Cruza la medianoche. ","")&amp;IF(LEN(TRIM(F131))&lt;15,"Sin descripción suficiente. ","")&amp;IF(AND(ISERROR(SEARCH("R-0",F131)),ISERROR(SEARCH("CU-",F131))),"Sin ticket. ","")&amp;IF(ISNA(MATCH(E131,Datos!$E$8:$E$22,0)),"Proyecto sin valor hora. ","")&amp;IF(ISNA(MATCH(D131,Datos!$A$8:$A$22,0)),"Persona fuera del equipo. ","")))</f>
        <v/>
      </c>
      <c r="I131" s="21" t="n"/>
      <c r="J131" s="22" t="n"/>
      <c r="K131" s="23">
        <f>IF(G131="","",IF(J131&lt;&gt;"",MIN(J131,G131),IF(OR(I131="Observada",I131="Rechazada"),0,G131)))</f>
        <v/>
      </c>
      <c r="L131" s="24" t="n"/>
      <c r="M131" s="25">
        <f>IF(OR(A131="",D131=""),0,IF(COUNTIFS($A$2:A131,A131,$D$2:D131,D131)=1,1,0))</f>
        <v/>
      </c>
    </row>
    <row r="132">
      <c r="A132" s="26" t="n"/>
      <c r="B132" s="27" t="n"/>
      <c r="C132" s="27" t="n"/>
      <c r="D132" s="28" t="n"/>
      <c r="E132" s="28" t="n"/>
      <c r="F132" s="29" t="n"/>
      <c r="G132" s="30" t="n"/>
      <c r="H132" s="20">
        <f>IF(A132="","",TRIM(IF(WEEKDAY(A132,2)&gt;5,"Fin de semana. ","")&amp;IF(SUMIFS($G$2:$G$601,$A$2:$A$601,A132,$D$2:$D$601,D132)&gt;9,"Más de 9 h en el día. ","")&amp;IF(AND(B132&lt;&gt;"",C132&lt;&gt;"",C132&lt;B132),"Cruza la medianoche. ","")&amp;IF(LEN(TRIM(F132))&lt;15,"Sin descripción suficiente. ","")&amp;IF(AND(ISERROR(SEARCH("R-0",F132)),ISERROR(SEARCH("CU-",F132))),"Sin ticket. ","")&amp;IF(ISNA(MATCH(E132,Datos!$E$8:$E$22,0)),"Proyecto sin valor hora. ","")&amp;IF(ISNA(MATCH(D132,Datos!$A$8:$A$22,0)),"Persona fuera del equipo. ","")))</f>
        <v/>
      </c>
      <c r="I132" s="21" t="n"/>
      <c r="J132" s="22" t="n"/>
      <c r="K132" s="23">
        <f>IF(G132="","",IF(J132&lt;&gt;"",MIN(J132,G132),IF(OR(I132="Observada",I132="Rechazada"),0,G132)))</f>
        <v/>
      </c>
      <c r="L132" s="24" t="n"/>
      <c r="M132" s="25">
        <f>IF(OR(A132="",D132=""),0,IF(COUNTIFS($A$2:A132,A132,$D$2:D132,D132)=1,1,0))</f>
        <v/>
      </c>
    </row>
    <row r="133">
      <c r="A133" s="26" t="n"/>
      <c r="B133" s="27" t="n"/>
      <c r="C133" s="27" t="n"/>
      <c r="D133" s="28" t="n"/>
      <c r="E133" s="28" t="n"/>
      <c r="F133" s="29" t="n"/>
      <c r="G133" s="30" t="n"/>
      <c r="H133" s="20">
        <f>IF(A133="","",TRIM(IF(WEEKDAY(A133,2)&gt;5,"Fin de semana. ","")&amp;IF(SUMIFS($G$2:$G$601,$A$2:$A$601,A133,$D$2:$D$601,D133)&gt;9,"Más de 9 h en el día. ","")&amp;IF(AND(B133&lt;&gt;"",C133&lt;&gt;"",C133&lt;B133),"Cruza la medianoche. ","")&amp;IF(LEN(TRIM(F133))&lt;15,"Sin descripción suficiente. ","")&amp;IF(AND(ISERROR(SEARCH("R-0",F133)),ISERROR(SEARCH("CU-",F133))),"Sin ticket. ","")&amp;IF(ISNA(MATCH(E133,Datos!$E$8:$E$22,0)),"Proyecto sin valor hora. ","")&amp;IF(ISNA(MATCH(D133,Datos!$A$8:$A$22,0)),"Persona fuera del equipo. ","")))</f>
        <v/>
      </c>
      <c r="I133" s="21" t="n"/>
      <c r="J133" s="22" t="n"/>
      <c r="K133" s="23">
        <f>IF(G133="","",IF(J133&lt;&gt;"",MIN(J133,G133),IF(OR(I133="Observada",I133="Rechazada"),0,G133)))</f>
        <v/>
      </c>
      <c r="L133" s="24" t="n"/>
      <c r="M133" s="25">
        <f>IF(OR(A133="",D133=""),0,IF(COUNTIFS($A$2:A133,A133,$D$2:D133,D133)=1,1,0))</f>
        <v/>
      </c>
    </row>
    <row r="134">
      <c r="A134" s="26" t="n"/>
      <c r="B134" s="27" t="n"/>
      <c r="C134" s="27" t="n"/>
      <c r="D134" s="28" t="n"/>
      <c r="E134" s="28" t="n"/>
      <c r="F134" s="29" t="n"/>
      <c r="G134" s="30" t="n"/>
      <c r="H134" s="20">
        <f>IF(A134="","",TRIM(IF(WEEKDAY(A134,2)&gt;5,"Fin de semana. ","")&amp;IF(SUMIFS($G$2:$G$601,$A$2:$A$601,A134,$D$2:$D$601,D134)&gt;9,"Más de 9 h en el día. ","")&amp;IF(AND(B134&lt;&gt;"",C134&lt;&gt;"",C134&lt;B134),"Cruza la medianoche. ","")&amp;IF(LEN(TRIM(F134))&lt;15,"Sin descripción suficiente. ","")&amp;IF(AND(ISERROR(SEARCH("R-0",F134)),ISERROR(SEARCH("CU-",F134))),"Sin ticket. ","")&amp;IF(ISNA(MATCH(E134,Datos!$E$8:$E$22,0)),"Proyecto sin valor hora. ","")&amp;IF(ISNA(MATCH(D134,Datos!$A$8:$A$22,0)),"Persona fuera del equipo. ","")))</f>
        <v/>
      </c>
      <c r="I134" s="21" t="n"/>
      <c r="J134" s="22" t="n"/>
      <c r="K134" s="23">
        <f>IF(G134="","",IF(J134&lt;&gt;"",MIN(J134,G134),IF(OR(I134="Observada",I134="Rechazada"),0,G134)))</f>
        <v/>
      </c>
      <c r="L134" s="24" t="n"/>
      <c r="M134" s="25">
        <f>IF(OR(A134="",D134=""),0,IF(COUNTIFS($A$2:A134,A134,$D$2:D134,D134)=1,1,0))</f>
        <v/>
      </c>
    </row>
    <row r="135">
      <c r="A135" s="26" t="n"/>
      <c r="B135" s="27" t="n"/>
      <c r="C135" s="27" t="n"/>
      <c r="D135" s="28" t="n"/>
      <c r="E135" s="28" t="n"/>
      <c r="F135" s="29" t="n"/>
      <c r="G135" s="30" t="n"/>
      <c r="H135" s="20">
        <f>IF(A135="","",TRIM(IF(WEEKDAY(A135,2)&gt;5,"Fin de semana. ","")&amp;IF(SUMIFS($G$2:$G$601,$A$2:$A$601,A135,$D$2:$D$601,D135)&gt;9,"Más de 9 h en el día. ","")&amp;IF(AND(B135&lt;&gt;"",C135&lt;&gt;"",C135&lt;B135),"Cruza la medianoche. ","")&amp;IF(LEN(TRIM(F135))&lt;15,"Sin descripción suficiente. ","")&amp;IF(AND(ISERROR(SEARCH("R-0",F135)),ISERROR(SEARCH("CU-",F135))),"Sin ticket. ","")&amp;IF(ISNA(MATCH(E135,Datos!$E$8:$E$22,0)),"Proyecto sin valor hora. ","")&amp;IF(ISNA(MATCH(D135,Datos!$A$8:$A$22,0)),"Persona fuera del equipo. ","")))</f>
        <v/>
      </c>
      <c r="I135" s="21" t="n"/>
      <c r="J135" s="22" t="n"/>
      <c r="K135" s="23">
        <f>IF(G135="","",IF(J135&lt;&gt;"",MIN(J135,G135),IF(OR(I135="Observada",I135="Rechazada"),0,G135)))</f>
        <v/>
      </c>
      <c r="L135" s="24" t="n"/>
      <c r="M135" s="25">
        <f>IF(OR(A135="",D135=""),0,IF(COUNTIFS($A$2:A135,A135,$D$2:D135,D135)=1,1,0))</f>
        <v/>
      </c>
    </row>
    <row r="136">
      <c r="A136" s="26" t="n"/>
      <c r="B136" s="27" t="n"/>
      <c r="C136" s="27" t="n"/>
      <c r="D136" s="28" t="n"/>
      <c r="E136" s="28" t="n"/>
      <c r="F136" s="29" t="n"/>
      <c r="G136" s="30" t="n"/>
      <c r="H136" s="20">
        <f>IF(A136="","",TRIM(IF(WEEKDAY(A136,2)&gt;5,"Fin de semana. ","")&amp;IF(SUMIFS($G$2:$G$601,$A$2:$A$601,A136,$D$2:$D$601,D136)&gt;9,"Más de 9 h en el día. ","")&amp;IF(AND(B136&lt;&gt;"",C136&lt;&gt;"",C136&lt;B136),"Cruza la medianoche. ","")&amp;IF(LEN(TRIM(F136))&lt;15,"Sin descripción suficiente. ","")&amp;IF(AND(ISERROR(SEARCH("R-0",F136)),ISERROR(SEARCH("CU-",F136))),"Sin ticket. ","")&amp;IF(ISNA(MATCH(E136,Datos!$E$8:$E$22,0)),"Proyecto sin valor hora. ","")&amp;IF(ISNA(MATCH(D136,Datos!$A$8:$A$22,0)),"Persona fuera del equipo. ","")))</f>
        <v/>
      </c>
      <c r="I136" s="21" t="n"/>
      <c r="J136" s="22" t="n"/>
      <c r="K136" s="23">
        <f>IF(G136="","",IF(J136&lt;&gt;"",MIN(J136,G136),IF(OR(I136="Observada",I136="Rechazada"),0,G136)))</f>
        <v/>
      </c>
      <c r="L136" s="24" t="n"/>
      <c r="M136" s="25">
        <f>IF(OR(A136="",D136=""),0,IF(COUNTIFS($A$2:A136,A136,$D$2:D136,D136)=1,1,0))</f>
        <v/>
      </c>
    </row>
    <row r="137">
      <c r="A137" s="26" t="n"/>
      <c r="B137" s="27" t="n"/>
      <c r="C137" s="27" t="n"/>
      <c r="D137" s="28" t="n"/>
      <c r="E137" s="28" t="n"/>
      <c r="F137" s="29" t="n"/>
      <c r="G137" s="30" t="n"/>
      <c r="H137" s="20">
        <f>IF(A137="","",TRIM(IF(WEEKDAY(A137,2)&gt;5,"Fin de semana. ","")&amp;IF(SUMIFS($G$2:$G$601,$A$2:$A$601,A137,$D$2:$D$601,D137)&gt;9,"Más de 9 h en el día. ","")&amp;IF(AND(B137&lt;&gt;"",C137&lt;&gt;"",C137&lt;B137),"Cruza la medianoche. ","")&amp;IF(LEN(TRIM(F137))&lt;15,"Sin descripción suficiente. ","")&amp;IF(AND(ISERROR(SEARCH("R-0",F137)),ISERROR(SEARCH("CU-",F137))),"Sin ticket. ","")&amp;IF(ISNA(MATCH(E137,Datos!$E$8:$E$22,0)),"Proyecto sin valor hora. ","")&amp;IF(ISNA(MATCH(D137,Datos!$A$8:$A$22,0)),"Persona fuera del equipo. ","")))</f>
        <v/>
      </c>
      <c r="I137" s="21" t="n"/>
      <c r="J137" s="22" t="n"/>
      <c r="K137" s="23">
        <f>IF(G137="","",IF(J137&lt;&gt;"",MIN(J137,G137),IF(OR(I137="Observada",I137="Rechazada"),0,G137)))</f>
        <v/>
      </c>
      <c r="L137" s="24" t="n"/>
      <c r="M137" s="25">
        <f>IF(OR(A137="",D137=""),0,IF(COUNTIFS($A$2:A137,A137,$D$2:D137,D137)=1,1,0))</f>
        <v/>
      </c>
    </row>
    <row r="138">
      <c r="A138" s="26" t="n"/>
      <c r="B138" s="27" t="n"/>
      <c r="C138" s="27" t="n"/>
      <c r="D138" s="28" t="n"/>
      <c r="E138" s="28" t="n"/>
      <c r="F138" s="29" t="n"/>
      <c r="G138" s="30" t="n"/>
      <c r="H138" s="20">
        <f>IF(A138="","",TRIM(IF(WEEKDAY(A138,2)&gt;5,"Fin de semana. ","")&amp;IF(SUMIFS($G$2:$G$601,$A$2:$A$601,A138,$D$2:$D$601,D138)&gt;9,"Más de 9 h en el día. ","")&amp;IF(AND(B138&lt;&gt;"",C138&lt;&gt;"",C138&lt;B138),"Cruza la medianoche. ","")&amp;IF(LEN(TRIM(F138))&lt;15,"Sin descripción suficiente. ","")&amp;IF(AND(ISERROR(SEARCH("R-0",F138)),ISERROR(SEARCH("CU-",F138))),"Sin ticket. ","")&amp;IF(ISNA(MATCH(E138,Datos!$E$8:$E$22,0)),"Proyecto sin valor hora. ","")&amp;IF(ISNA(MATCH(D138,Datos!$A$8:$A$22,0)),"Persona fuera del equipo. ","")))</f>
        <v/>
      </c>
      <c r="I138" s="21" t="n"/>
      <c r="J138" s="22" t="n"/>
      <c r="K138" s="23">
        <f>IF(G138="","",IF(J138&lt;&gt;"",MIN(J138,G138),IF(OR(I138="Observada",I138="Rechazada"),0,G138)))</f>
        <v/>
      </c>
      <c r="L138" s="24" t="n"/>
      <c r="M138" s="25">
        <f>IF(OR(A138="",D138=""),0,IF(COUNTIFS($A$2:A138,A138,$D$2:D138,D138)=1,1,0))</f>
        <v/>
      </c>
    </row>
    <row r="139">
      <c r="A139" s="26" t="n"/>
      <c r="B139" s="27" t="n"/>
      <c r="C139" s="27" t="n"/>
      <c r="D139" s="28" t="n"/>
      <c r="E139" s="28" t="n"/>
      <c r="F139" s="29" t="n"/>
      <c r="G139" s="30" t="n"/>
      <c r="H139" s="20">
        <f>IF(A139="","",TRIM(IF(WEEKDAY(A139,2)&gt;5,"Fin de semana. ","")&amp;IF(SUMIFS($G$2:$G$601,$A$2:$A$601,A139,$D$2:$D$601,D139)&gt;9,"Más de 9 h en el día. ","")&amp;IF(AND(B139&lt;&gt;"",C139&lt;&gt;"",C139&lt;B139),"Cruza la medianoche. ","")&amp;IF(LEN(TRIM(F139))&lt;15,"Sin descripción suficiente. ","")&amp;IF(AND(ISERROR(SEARCH("R-0",F139)),ISERROR(SEARCH("CU-",F139))),"Sin ticket. ","")&amp;IF(ISNA(MATCH(E139,Datos!$E$8:$E$22,0)),"Proyecto sin valor hora. ","")&amp;IF(ISNA(MATCH(D139,Datos!$A$8:$A$22,0)),"Persona fuera del equipo. ","")))</f>
        <v/>
      </c>
      <c r="I139" s="21" t="n"/>
      <c r="J139" s="22" t="n"/>
      <c r="K139" s="23">
        <f>IF(G139="","",IF(J139&lt;&gt;"",MIN(J139,G139),IF(OR(I139="Observada",I139="Rechazada"),0,G139)))</f>
        <v/>
      </c>
      <c r="L139" s="24" t="n"/>
      <c r="M139" s="25">
        <f>IF(OR(A139="",D139=""),0,IF(COUNTIFS($A$2:A139,A139,$D$2:D139,D139)=1,1,0))</f>
        <v/>
      </c>
    </row>
    <row r="140">
      <c r="A140" s="26" t="n"/>
      <c r="B140" s="27" t="n"/>
      <c r="C140" s="27" t="n"/>
      <c r="D140" s="28" t="n"/>
      <c r="E140" s="28" t="n"/>
      <c r="F140" s="29" t="n"/>
      <c r="G140" s="30" t="n"/>
      <c r="H140" s="20">
        <f>IF(A140="","",TRIM(IF(WEEKDAY(A140,2)&gt;5,"Fin de semana. ","")&amp;IF(SUMIFS($G$2:$G$601,$A$2:$A$601,A140,$D$2:$D$601,D140)&gt;9,"Más de 9 h en el día. ","")&amp;IF(AND(B140&lt;&gt;"",C140&lt;&gt;"",C140&lt;B140),"Cruza la medianoche. ","")&amp;IF(LEN(TRIM(F140))&lt;15,"Sin descripción suficiente. ","")&amp;IF(AND(ISERROR(SEARCH("R-0",F140)),ISERROR(SEARCH("CU-",F140))),"Sin ticket. ","")&amp;IF(ISNA(MATCH(E140,Datos!$E$8:$E$22,0)),"Proyecto sin valor hora. ","")&amp;IF(ISNA(MATCH(D140,Datos!$A$8:$A$22,0)),"Persona fuera del equipo. ","")))</f>
        <v/>
      </c>
      <c r="I140" s="21" t="n"/>
      <c r="J140" s="22" t="n"/>
      <c r="K140" s="23">
        <f>IF(G140="","",IF(J140&lt;&gt;"",MIN(J140,G140),IF(OR(I140="Observada",I140="Rechazada"),0,G140)))</f>
        <v/>
      </c>
      <c r="L140" s="24" t="n"/>
      <c r="M140" s="25">
        <f>IF(OR(A140="",D140=""),0,IF(COUNTIFS($A$2:A140,A140,$D$2:D140,D140)=1,1,0))</f>
        <v/>
      </c>
    </row>
    <row r="141">
      <c r="A141" s="26" t="n"/>
      <c r="B141" s="27" t="n"/>
      <c r="C141" s="27" t="n"/>
      <c r="D141" s="28" t="n"/>
      <c r="E141" s="28" t="n"/>
      <c r="F141" s="29" t="n"/>
      <c r="G141" s="30" t="n"/>
      <c r="H141" s="20">
        <f>IF(A141="","",TRIM(IF(WEEKDAY(A141,2)&gt;5,"Fin de semana. ","")&amp;IF(SUMIFS($G$2:$G$601,$A$2:$A$601,A141,$D$2:$D$601,D141)&gt;9,"Más de 9 h en el día. ","")&amp;IF(AND(B141&lt;&gt;"",C141&lt;&gt;"",C141&lt;B141),"Cruza la medianoche. ","")&amp;IF(LEN(TRIM(F141))&lt;15,"Sin descripción suficiente. ","")&amp;IF(AND(ISERROR(SEARCH("R-0",F141)),ISERROR(SEARCH("CU-",F141))),"Sin ticket. ","")&amp;IF(ISNA(MATCH(E141,Datos!$E$8:$E$22,0)),"Proyecto sin valor hora. ","")&amp;IF(ISNA(MATCH(D141,Datos!$A$8:$A$22,0)),"Persona fuera del equipo. ","")))</f>
        <v/>
      </c>
      <c r="I141" s="21" t="n"/>
      <c r="J141" s="22" t="n"/>
      <c r="K141" s="23">
        <f>IF(G141="","",IF(J141&lt;&gt;"",MIN(J141,G141),IF(OR(I141="Observada",I141="Rechazada"),0,G141)))</f>
        <v/>
      </c>
      <c r="L141" s="24" t="n"/>
      <c r="M141" s="25">
        <f>IF(OR(A141="",D141=""),0,IF(COUNTIFS($A$2:A141,A141,$D$2:D141,D141)=1,1,0))</f>
        <v/>
      </c>
    </row>
    <row r="142">
      <c r="A142" s="26" t="n"/>
      <c r="B142" s="27" t="n"/>
      <c r="C142" s="27" t="n"/>
      <c r="D142" s="28" t="n"/>
      <c r="E142" s="28" t="n"/>
      <c r="F142" s="29" t="n"/>
      <c r="G142" s="30" t="n"/>
      <c r="H142" s="20">
        <f>IF(A142="","",TRIM(IF(WEEKDAY(A142,2)&gt;5,"Fin de semana. ","")&amp;IF(SUMIFS($G$2:$G$601,$A$2:$A$601,A142,$D$2:$D$601,D142)&gt;9,"Más de 9 h en el día. ","")&amp;IF(AND(B142&lt;&gt;"",C142&lt;&gt;"",C142&lt;B142),"Cruza la medianoche. ","")&amp;IF(LEN(TRIM(F142))&lt;15,"Sin descripción suficiente. ","")&amp;IF(AND(ISERROR(SEARCH("R-0",F142)),ISERROR(SEARCH("CU-",F142))),"Sin ticket. ","")&amp;IF(ISNA(MATCH(E142,Datos!$E$8:$E$22,0)),"Proyecto sin valor hora. ","")&amp;IF(ISNA(MATCH(D142,Datos!$A$8:$A$22,0)),"Persona fuera del equipo. ","")))</f>
        <v/>
      </c>
      <c r="I142" s="21" t="n"/>
      <c r="J142" s="22" t="n"/>
      <c r="K142" s="23">
        <f>IF(G142="","",IF(J142&lt;&gt;"",MIN(J142,G142),IF(OR(I142="Observada",I142="Rechazada"),0,G142)))</f>
        <v/>
      </c>
      <c r="L142" s="24" t="n"/>
      <c r="M142" s="25">
        <f>IF(OR(A142="",D142=""),0,IF(COUNTIFS($A$2:A142,A142,$D$2:D142,D142)=1,1,0))</f>
        <v/>
      </c>
    </row>
    <row r="143">
      <c r="A143" s="26" t="n"/>
      <c r="B143" s="27" t="n"/>
      <c r="C143" s="27" t="n"/>
      <c r="D143" s="28" t="n"/>
      <c r="E143" s="28" t="n"/>
      <c r="F143" s="29" t="n"/>
      <c r="G143" s="30" t="n"/>
      <c r="H143" s="20">
        <f>IF(A143="","",TRIM(IF(WEEKDAY(A143,2)&gt;5,"Fin de semana. ","")&amp;IF(SUMIFS($G$2:$G$601,$A$2:$A$601,A143,$D$2:$D$601,D143)&gt;9,"Más de 9 h en el día. ","")&amp;IF(AND(B143&lt;&gt;"",C143&lt;&gt;"",C143&lt;B143),"Cruza la medianoche. ","")&amp;IF(LEN(TRIM(F143))&lt;15,"Sin descripción suficiente. ","")&amp;IF(AND(ISERROR(SEARCH("R-0",F143)),ISERROR(SEARCH("CU-",F143))),"Sin ticket. ","")&amp;IF(ISNA(MATCH(E143,Datos!$E$8:$E$22,0)),"Proyecto sin valor hora. ","")&amp;IF(ISNA(MATCH(D143,Datos!$A$8:$A$22,0)),"Persona fuera del equipo. ","")))</f>
        <v/>
      </c>
      <c r="I143" s="21" t="n"/>
      <c r="J143" s="22" t="n"/>
      <c r="K143" s="23">
        <f>IF(G143="","",IF(J143&lt;&gt;"",MIN(J143,G143),IF(OR(I143="Observada",I143="Rechazada"),0,G143)))</f>
        <v/>
      </c>
      <c r="L143" s="24" t="n"/>
      <c r="M143" s="25">
        <f>IF(OR(A143="",D143=""),0,IF(COUNTIFS($A$2:A143,A143,$D$2:D143,D143)=1,1,0))</f>
        <v/>
      </c>
    </row>
    <row r="144">
      <c r="A144" s="26" t="n"/>
      <c r="B144" s="27" t="n"/>
      <c r="C144" s="27" t="n"/>
      <c r="D144" s="28" t="n"/>
      <c r="E144" s="28" t="n"/>
      <c r="F144" s="29" t="n"/>
      <c r="G144" s="30" t="n"/>
      <c r="H144" s="20">
        <f>IF(A144="","",TRIM(IF(WEEKDAY(A144,2)&gt;5,"Fin de semana. ","")&amp;IF(SUMIFS($G$2:$G$601,$A$2:$A$601,A144,$D$2:$D$601,D144)&gt;9,"Más de 9 h en el día. ","")&amp;IF(AND(B144&lt;&gt;"",C144&lt;&gt;"",C144&lt;B144),"Cruza la medianoche. ","")&amp;IF(LEN(TRIM(F144))&lt;15,"Sin descripción suficiente. ","")&amp;IF(AND(ISERROR(SEARCH("R-0",F144)),ISERROR(SEARCH("CU-",F144))),"Sin ticket. ","")&amp;IF(ISNA(MATCH(E144,Datos!$E$8:$E$22,0)),"Proyecto sin valor hora. ","")&amp;IF(ISNA(MATCH(D144,Datos!$A$8:$A$22,0)),"Persona fuera del equipo. ","")))</f>
        <v/>
      </c>
      <c r="I144" s="21" t="n"/>
      <c r="J144" s="22" t="n"/>
      <c r="K144" s="23">
        <f>IF(G144="","",IF(J144&lt;&gt;"",MIN(J144,G144),IF(OR(I144="Observada",I144="Rechazada"),0,G144)))</f>
        <v/>
      </c>
      <c r="L144" s="24" t="n"/>
      <c r="M144" s="25">
        <f>IF(OR(A144="",D144=""),0,IF(COUNTIFS($A$2:A144,A144,$D$2:D144,D144)=1,1,0))</f>
        <v/>
      </c>
    </row>
    <row r="145">
      <c r="A145" s="26" t="n"/>
      <c r="B145" s="27" t="n"/>
      <c r="C145" s="27" t="n"/>
      <c r="D145" s="28" t="n"/>
      <c r="E145" s="28" t="n"/>
      <c r="F145" s="29" t="n"/>
      <c r="G145" s="30" t="n"/>
      <c r="H145" s="20">
        <f>IF(A145="","",TRIM(IF(WEEKDAY(A145,2)&gt;5,"Fin de semana. ","")&amp;IF(SUMIFS($G$2:$G$601,$A$2:$A$601,A145,$D$2:$D$601,D145)&gt;9,"Más de 9 h en el día. ","")&amp;IF(AND(B145&lt;&gt;"",C145&lt;&gt;"",C145&lt;B145),"Cruza la medianoche. ","")&amp;IF(LEN(TRIM(F145))&lt;15,"Sin descripción suficiente. ","")&amp;IF(AND(ISERROR(SEARCH("R-0",F145)),ISERROR(SEARCH("CU-",F145))),"Sin ticket. ","")&amp;IF(ISNA(MATCH(E145,Datos!$E$8:$E$22,0)),"Proyecto sin valor hora. ","")&amp;IF(ISNA(MATCH(D145,Datos!$A$8:$A$22,0)),"Persona fuera del equipo. ","")))</f>
        <v/>
      </c>
      <c r="I145" s="21" t="n"/>
      <c r="J145" s="22" t="n"/>
      <c r="K145" s="23">
        <f>IF(G145="","",IF(J145&lt;&gt;"",MIN(J145,G145),IF(OR(I145="Observada",I145="Rechazada"),0,G145)))</f>
        <v/>
      </c>
      <c r="L145" s="24" t="n"/>
      <c r="M145" s="25">
        <f>IF(OR(A145="",D145=""),0,IF(COUNTIFS($A$2:A145,A145,$D$2:D145,D145)=1,1,0))</f>
        <v/>
      </c>
    </row>
    <row r="146">
      <c r="A146" s="26" t="n"/>
      <c r="B146" s="27" t="n"/>
      <c r="C146" s="27" t="n"/>
      <c r="D146" s="28" t="n"/>
      <c r="E146" s="28" t="n"/>
      <c r="F146" s="29" t="n"/>
      <c r="G146" s="30" t="n"/>
      <c r="H146" s="20">
        <f>IF(A146="","",TRIM(IF(WEEKDAY(A146,2)&gt;5,"Fin de semana. ","")&amp;IF(SUMIFS($G$2:$G$601,$A$2:$A$601,A146,$D$2:$D$601,D146)&gt;9,"Más de 9 h en el día. ","")&amp;IF(AND(B146&lt;&gt;"",C146&lt;&gt;"",C146&lt;B146),"Cruza la medianoche. ","")&amp;IF(LEN(TRIM(F146))&lt;15,"Sin descripción suficiente. ","")&amp;IF(AND(ISERROR(SEARCH("R-0",F146)),ISERROR(SEARCH("CU-",F146))),"Sin ticket. ","")&amp;IF(ISNA(MATCH(E146,Datos!$E$8:$E$22,0)),"Proyecto sin valor hora. ","")&amp;IF(ISNA(MATCH(D146,Datos!$A$8:$A$22,0)),"Persona fuera del equipo. ","")))</f>
        <v/>
      </c>
      <c r="I146" s="21" t="n"/>
      <c r="J146" s="22" t="n"/>
      <c r="K146" s="23">
        <f>IF(G146="","",IF(J146&lt;&gt;"",MIN(J146,G146),IF(OR(I146="Observada",I146="Rechazada"),0,G146)))</f>
        <v/>
      </c>
      <c r="L146" s="24" t="n"/>
      <c r="M146" s="25">
        <f>IF(OR(A146="",D146=""),0,IF(COUNTIFS($A$2:A146,A146,$D$2:D146,D146)=1,1,0))</f>
        <v/>
      </c>
    </row>
    <row r="147">
      <c r="A147" s="26" t="n"/>
      <c r="B147" s="27" t="n"/>
      <c r="C147" s="27" t="n"/>
      <c r="D147" s="28" t="n"/>
      <c r="E147" s="28" t="n"/>
      <c r="F147" s="29" t="n"/>
      <c r="G147" s="30" t="n"/>
      <c r="H147" s="20">
        <f>IF(A147="","",TRIM(IF(WEEKDAY(A147,2)&gt;5,"Fin de semana. ","")&amp;IF(SUMIFS($G$2:$G$601,$A$2:$A$601,A147,$D$2:$D$601,D147)&gt;9,"Más de 9 h en el día. ","")&amp;IF(AND(B147&lt;&gt;"",C147&lt;&gt;"",C147&lt;B147),"Cruza la medianoche. ","")&amp;IF(LEN(TRIM(F147))&lt;15,"Sin descripción suficiente. ","")&amp;IF(AND(ISERROR(SEARCH("R-0",F147)),ISERROR(SEARCH("CU-",F147))),"Sin ticket. ","")&amp;IF(ISNA(MATCH(E147,Datos!$E$8:$E$22,0)),"Proyecto sin valor hora. ","")&amp;IF(ISNA(MATCH(D147,Datos!$A$8:$A$22,0)),"Persona fuera del equipo. ","")))</f>
        <v/>
      </c>
      <c r="I147" s="21" t="n"/>
      <c r="J147" s="22" t="n"/>
      <c r="K147" s="23">
        <f>IF(G147="","",IF(J147&lt;&gt;"",MIN(J147,G147),IF(OR(I147="Observada",I147="Rechazada"),0,G147)))</f>
        <v/>
      </c>
      <c r="L147" s="24" t="n"/>
      <c r="M147" s="25">
        <f>IF(OR(A147="",D147=""),0,IF(COUNTIFS($A$2:A147,A147,$D$2:D147,D147)=1,1,0))</f>
        <v/>
      </c>
    </row>
    <row r="148">
      <c r="A148" s="26" t="n"/>
      <c r="B148" s="27" t="n"/>
      <c r="C148" s="27" t="n"/>
      <c r="D148" s="28" t="n"/>
      <c r="E148" s="28" t="n"/>
      <c r="F148" s="29" t="n"/>
      <c r="G148" s="30" t="n"/>
      <c r="H148" s="20">
        <f>IF(A148="","",TRIM(IF(WEEKDAY(A148,2)&gt;5,"Fin de semana. ","")&amp;IF(SUMIFS($G$2:$G$601,$A$2:$A$601,A148,$D$2:$D$601,D148)&gt;9,"Más de 9 h en el día. ","")&amp;IF(AND(B148&lt;&gt;"",C148&lt;&gt;"",C148&lt;B148),"Cruza la medianoche. ","")&amp;IF(LEN(TRIM(F148))&lt;15,"Sin descripción suficiente. ","")&amp;IF(AND(ISERROR(SEARCH("R-0",F148)),ISERROR(SEARCH("CU-",F148))),"Sin ticket. ","")&amp;IF(ISNA(MATCH(E148,Datos!$E$8:$E$22,0)),"Proyecto sin valor hora. ","")&amp;IF(ISNA(MATCH(D148,Datos!$A$8:$A$22,0)),"Persona fuera del equipo. ","")))</f>
        <v/>
      </c>
      <c r="I148" s="21" t="n"/>
      <c r="J148" s="22" t="n"/>
      <c r="K148" s="23">
        <f>IF(G148="","",IF(J148&lt;&gt;"",MIN(J148,G148),IF(OR(I148="Observada",I148="Rechazada"),0,G148)))</f>
        <v/>
      </c>
      <c r="L148" s="24" t="n"/>
      <c r="M148" s="25">
        <f>IF(OR(A148="",D148=""),0,IF(COUNTIFS($A$2:A148,A148,$D$2:D148,D148)=1,1,0))</f>
        <v/>
      </c>
    </row>
    <row r="149">
      <c r="A149" s="26" t="n"/>
      <c r="B149" s="27" t="n"/>
      <c r="C149" s="27" t="n"/>
      <c r="D149" s="28" t="n"/>
      <c r="E149" s="28" t="n"/>
      <c r="F149" s="29" t="n"/>
      <c r="G149" s="30" t="n"/>
      <c r="H149" s="20">
        <f>IF(A149="","",TRIM(IF(WEEKDAY(A149,2)&gt;5,"Fin de semana. ","")&amp;IF(SUMIFS($G$2:$G$601,$A$2:$A$601,A149,$D$2:$D$601,D149)&gt;9,"Más de 9 h en el día. ","")&amp;IF(AND(B149&lt;&gt;"",C149&lt;&gt;"",C149&lt;B149),"Cruza la medianoche. ","")&amp;IF(LEN(TRIM(F149))&lt;15,"Sin descripción suficiente. ","")&amp;IF(AND(ISERROR(SEARCH("R-0",F149)),ISERROR(SEARCH("CU-",F149))),"Sin ticket. ","")&amp;IF(ISNA(MATCH(E149,Datos!$E$8:$E$22,0)),"Proyecto sin valor hora. ","")&amp;IF(ISNA(MATCH(D149,Datos!$A$8:$A$22,0)),"Persona fuera del equipo. ","")))</f>
        <v/>
      </c>
      <c r="I149" s="21" t="n"/>
      <c r="J149" s="22" t="n"/>
      <c r="K149" s="23">
        <f>IF(G149="","",IF(J149&lt;&gt;"",MIN(J149,G149),IF(OR(I149="Observada",I149="Rechazada"),0,G149)))</f>
        <v/>
      </c>
      <c r="L149" s="24" t="n"/>
      <c r="M149" s="25">
        <f>IF(OR(A149="",D149=""),0,IF(COUNTIFS($A$2:A149,A149,$D$2:D149,D149)=1,1,0))</f>
        <v/>
      </c>
    </row>
    <row r="150">
      <c r="A150" s="26" t="n"/>
      <c r="B150" s="27" t="n"/>
      <c r="C150" s="27" t="n"/>
      <c r="D150" s="28" t="n"/>
      <c r="E150" s="28" t="n"/>
      <c r="F150" s="29" t="n"/>
      <c r="G150" s="30" t="n"/>
      <c r="H150" s="20">
        <f>IF(A150="","",TRIM(IF(WEEKDAY(A150,2)&gt;5,"Fin de semana. ","")&amp;IF(SUMIFS($G$2:$G$601,$A$2:$A$601,A150,$D$2:$D$601,D150)&gt;9,"Más de 9 h en el día. ","")&amp;IF(AND(B150&lt;&gt;"",C150&lt;&gt;"",C150&lt;B150),"Cruza la medianoche. ","")&amp;IF(LEN(TRIM(F150))&lt;15,"Sin descripción suficiente. ","")&amp;IF(AND(ISERROR(SEARCH("R-0",F150)),ISERROR(SEARCH("CU-",F150))),"Sin ticket. ","")&amp;IF(ISNA(MATCH(E150,Datos!$E$8:$E$22,0)),"Proyecto sin valor hora. ","")&amp;IF(ISNA(MATCH(D150,Datos!$A$8:$A$22,0)),"Persona fuera del equipo. ","")))</f>
        <v/>
      </c>
      <c r="I150" s="21" t="n"/>
      <c r="J150" s="22" t="n"/>
      <c r="K150" s="23">
        <f>IF(G150="","",IF(J150&lt;&gt;"",MIN(J150,G150),IF(OR(I150="Observada",I150="Rechazada"),0,G150)))</f>
        <v/>
      </c>
      <c r="L150" s="24" t="n"/>
      <c r="M150" s="25">
        <f>IF(OR(A150="",D150=""),0,IF(COUNTIFS($A$2:A150,A150,$D$2:D150,D150)=1,1,0))</f>
        <v/>
      </c>
    </row>
    <row r="151">
      <c r="A151" s="26" t="n"/>
      <c r="B151" s="27" t="n"/>
      <c r="C151" s="27" t="n"/>
      <c r="D151" s="28" t="n"/>
      <c r="E151" s="28" t="n"/>
      <c r="F151" s="29" t="n"/>
      <c r="G151" s="30" t="n"/>
      <c r="H151" s="20">
        <f>IF(A151="","",TRIM(IF(WEEKDAY(A151,2)&gt;5,"Fin de semana. ","")&amp;IF(SUMIFS($G$2:$G$601,$A$2:$A$601,A151,$D$2:$D$601,D151)&gt;9,"Más de 9 h en el día. ","")&amp;IF(AND(B151&lt;&gt;"",C151&lt;&gt;"",C151&lt;B151),"Cruza la medianoche. ","")&amp;IF(LEN(TRIM(F151))&lt;15,"Sin descripción suficiente. ","")&amp;IF(AND(ISERROR(SEARCH("R-0",F151)),ISERROR(SEARCH("CU-",F151))),"Sin ticket. ","")&amp;IF(ISNA(MATCH(E151,Datos!$E$8:$E$22,0)),"Proyecto sin valor hora. ","")&amp;IF(ISNA(MATCH(D151,Datos!$A$8:$A$22,0)),"Persona fuera del equipo. ","")))</f>
        <v/>
      </c>
      <c r="I151" s="21" t="n"/>
      <c r="J151" s="22" t="n"/>
      <c r="K151" s="23">
        <f>IF(G151="","",IF(J151&lt;&gt;"",MIN(J151,G151),IF(OR(I151="Observada",I151="Rechazada"),0,G151)))</f>
        <v/>
      </c>
      <c r="L151" s="24" t="n"/>
      <c r="M151" s="25">
        <f>IF(OR(A151="",D151=""),0,IF(COUNTIFS($A$2:A151,A151,$D$2:D151,D151)=1,1,0))</f>
        <v/>
      </c>
    </row>
    <row r="152">
      <c r="A152" s="26" t="n"/>
      <c r="B152" s="27" t="n"/>
      <c r="C152" s="27" t="n"/>
      <c r="D152" s="28" t="n"/>
      <c r="E152" s="28" t="n"/>
      <c r="F152" s="29" t="n"/>
      <c r="G152" s="30" t="n"/>
      <c r="H152" s="20">
        <f>IF(A152="","",TRIM(IF(WEEKDAY(A152,2)&gt;5,"Fin de semana. ","")&amp;IF(SUMIFS($G$2:$G$601,$A$2:$A$601,A152,$D$2:$D$601,D152)&gt;9,"Más de 9 h en el día. ","")&amp;IF(AND(B152&lt;&gt;"",C152&lt;&gt;"",C152&lt;B152),"Cruza la medianoche. ","")&amp;IF(LEN(TRIM(F152))&lt;15,"Sin descripción suficiente. ","")&amp;IF(AND(ISERROR(SEARCH("R-0",F152)),ISERROR(SEARCH("CU-",F152))),"Sin ticket. ","")&amp;IF(ISNA(MATCH(E152,Datos!$E$8:$E$22,0)),"Proyecto sin valor hora. ","")&amp;IF(ISNA(MATCH(D152,Datos!$A$8:$A$22,0)),"Persona fuera del equipo. ","")))</f>
        <v/>
      </c>
      <c r="I152" s="21" t="n"/>
      <c r="J152" s="22" t="n"/>
      <c r="K152" s="23">
        <f>IF(G152="","",IF(J152&lt;&gt;"",MIN(J152,G152),IF(OR(I152="Observada",I152="Rechazada"),0,G152)))</f>
        <v/>
      </c>
      <c r="L152" s="24" t="n"/>
      <c r="M152" s="25">
        <f>IF(OR(A152="",D152=""),0,IF(COUNTIFS($A$2:A152,A152,$D$2:D152,D152)=1,1,0))</f>
        <v/>
      </c>
    </row>
    <row r="153">
      <c r="A153" s="26" t="n"/>
      <c r="B153" s="27" t="n"/>
      <c r="C153" s="27" t="n"/>
      <c r="D153" s="28" t="n"/>
      <c r="E153" s="28" t="n"/>
      <c r="F153" s="29" t="n"/>
      <c r="G153" s="30" t="n"/>
      <c r="H153" s="20">
        <f>IF(A153="","",TRIM(IF(WEEKDAY(A153,2)&gt;5,"Fin de semana. ","")&amp;IF(SUMIFS($G$2:$G$601,$A$2:$A$601,A153,$D$2:$D$601,D153)&gt;9,"Más de 9 h en el día. ","")&amp;IF(AND(B153&lt;&gt;"",C153&lt;&gt;"",C153&lt;B153),"Cruza la medianoche. ","")&amp;IF(LEN(TRIM(F153))&lt;15,"Sin descripción suficiente. ","")&amp;IF(AND(ISERROR(SEARCH("R-0",F153)),ISERROR(SEARCH("CU-",F153))),"Sin ticket. ","")&amp;IF(ISNA(MATCH(E153,Datos!$E$8:$E$22,0)),"Proyecto sin valor hora. ","")&amp;IF(ISNA(MATCH(D153,Datos!$A$8:$A$22,0)),"Persona fuera del equipo. ","")))</f>
        <v/>
      </c>
      <c r="I153" s="21" t="n"/>
      <c r="J153" s="22" t="n"/>
      <c r="K153" s="23">
        <f>IF(G153="","",IF(J153&lt;&gt;"",MIN(J153,G153),IF(OR(I153="Observada",I153="Rechazada"),0,G153)))</f>
        <v/>
      </c>
      <c r="L153" s="24" t="n"/>
      <c r="M153" s="25">
        <f>IF(OR(A153="",D153=""),0,IF(COUNTIFS($A$2:A153,A153,$D$2:D153,D153)=1,1,0))</f>
        <v/>
      </c>
    </row>
    <row r="154">
      <c r="A154" s="26" t="n"/>
      <c r="B154" s="27" t="n"/>
      <c r="C154" s="27" t="n"/>
      <c r="D154" s="28" t="n"/>
      <c r="E154" s="28" t="n"/>
      <c r="F154" s="29" t="n"/>
      <c r="G154" s="30" t="n"/>
      <c r="H154" s="20">
        <f>IF(A154="","",TRIM(IF(WEEKDAY(A154,2)&gt;5,"Fin de semana. ","")&amp;IF(SUMIFS($G$2:$G$601,$A$2:$A$601,A154,$D$2:$D$601,D154)&gt;9,"Más de 9 h en el día. ","")&amp;IF(AND(B154&lt;&gt;"",C154&lt;&gt;"",C154&lt;B154),"Cruza la medianoche. ","")&amp;IF(LEN(TRIM(F154))&lt;15,"Sin descripción suficiente. ","")&amp;IF(AND(ISERROR(SEARCH("R-0",F154)),ISERROR(SEARCH("CU-",F154))),"Sin ticket. ","")&amp;IF(ISNA(MATCH(E154,Datos!$E$8:$E$22,0)),"Proyecto sin valor hora. ","")&amp;IF(ISNA(MATCH(D154,Datos!$A$8:$A$22,0)),"Persona fuera del equipo. ","")))</f>
        <v/>
      </c>
      <c r="I154" s="21" t="n"/>
      <c r="J154" s="22" t="n"/>
      <c r="K154" s="23">
        <f>IF(G154="","",IF(J154&lt;&gt;"",MIN(J154,G154),IF(OR(I154="Observada",I154="Rechazada"),0,G154)))</f>
        <v/>
      </c>
      <c r="L154" s="24" t="n"/>
      <c r="M154" s="25">
        <f>IF(OR(A154="",D154=""),0,IF(COUNTIFS($A$2:A154,A154,$D$2:D154,D154)=1,1,0))</f>
        <v/>
      </c>
    </row>
    <row r="155">
      <c r="A155" s="26" t="n"/>
      <c r="B155" s="27" t="n"/>
      <c r="C155" s="27" t="n"/>
      <c r="D155" s="28" t="n"/>
      <c r="E155" s="28" t="n"/>
      <c r="F155" s="29" t="n"/>
      <c r="G155" s="30" t="n"/>
      <c r="H155" s="20">
        <f>IF(A155="","",TRIM(IF(WEEKDAY(A155,2)&gt;5,"Fin de semana. ","")&amp;IF(SUMIFS($G$2:$G$601,$A$2:$A$601,A155,$D$2:$D$601,D155)&gt;9,"Más de 9 h en el día. ","")&amp;IF(AND(B155&lt;&gt;"",C155&lt;&gt;"",C155&lt;B155),"Cruza la medianoche. ","")&amp;IF(LEN(TRIM(F155))&lt;15,"Sin descripción suficiente. ","")&amp;IF(AND(ISERROR(SEARCH("R-0",F155)),ISERROR(SEARCH("CU-",F155))),"Sin ticket. ","")&amp;IF(ISNA(MATCH(E155,Datos!$E$8:$E$22,0)),"Proyecto sin valor hora. ","")&amp;IF(ISNA(MATCH(D155,Datos!$A$8:$A$22,0)),"Persona fuera del equipo. ","")))</f>
        <v/>
      </c>
      <c r="I155" s="21" t="n"/>
      <c r="J155" s="22" t="n"/>
      <c r="K155" s="23">
        <f>IF(G155="","",IF(J155&lt;&gt;"",MIN(J155,G155),IF(OR(I155="Observada",I155="Rechazada"),0,G155)))</f>
        <v/>
      </c>
      <c r="L155" s="24" t="n"/>
      <c r="M155" s="25">
        <f>IF(OR(A155="",D155=""),0,IF(COUNTIFS($A$2:A155,A155,$D$2:D155,D155)=1,1,0))</f>
        <v/>
      </c>
    </row>
    <row r="156">
      <c r="A156" s="26" t="n"/>
      <c r="B156" s="27" t="n"/>
      <c r="C156" s="27" t="n"/>
      <c r="D156" s="28" t="n"/>
      <c r="E156" s="28" t="n"/>
      <c r="F156" s="29" t="n"/>
      <c r="G156" s="30" t="n"/>
      <c r="H156" s="20">
        <f>IF(A156="","",TRIM(IF(WEEKDAY(A156,2)&gt;5,"Fin de semana. ","")&amp;IF(SUMIFS($G$2:$G$601,$A$2:$A$601,A156,$D$2:$D$601,D156)&gt;9,"Más de 9 h en el día. ","")&amp;IF(AND(B156&lt;&gt;"",C156&lt;&gt;"",C156&lt;B156),"Cruza la medianoche. ","")&amp;IF(LEN(TRIM(F156))&lt;15,"Sin descripción suficiente. ","")&amp;IF(AND(ISERROR(SEARCH("R-0",F156)),ISERROR(SEARCH("CU-",F156))),"Sin ticket. ","")&amp;IF(ISNA(MATCH(E156,Datos!$E$8:$E$22,0)),"Proyecto sin valor hora. ","")&amp;IF(ISNA(MATCH(D156,Datos!$A$8:$A$22,0)),"Persona fuera del equipo. ","")))</f>
        <v/>
      </c>
      <c r="I156" s="21" t="n"/>
      <c r="J156" s="22" t="n"/>
      <c r="K156" s="23">
        <f>IF(G156="","",IF(J156&lt;&gt;"",MIN(J156,G156),IF(OR(I156="Observada",I156="Rechazada"),0,G156)))</f>
        <v/>
      </c>
      <c r="L156" s="24" t="n"/>
      <c r="M156" s="25">
        <f>IF(OR(A156="",D156=""),0,IF(COUNTIFS($A$2:A156,A156,$D$2:D156,D156)=1,1,0))</f>
        <v/>
      </c>
    </row>
    <row r="157">
      <c r="A157" s="26" t="n"/>
      <c r="B157" s="27" t="n"/>
      <c r="C157" s="27" t="n"/>
      <c r="D157" s="28" t="n"/>
      <c r="E157" s="28" t="n"/>
      <c r="F157" s="29" t="n"/>
      <c r="G157" s="30" t="n"/>
      <c r="H157" s="20">
        <f>IF(A157="","",TRIM(IF(WEEKDAY(A157,2)&gt;5,"Fin de semana. ","")&amp;IF(SUMIFS($G$2:$G$601,$A$2:$A$601,A157,$D$2:$D$601,D157)&gt;9,"Más de 9 h en el día. ","")&amp;IF(AND(B157&lt;&gt;"",C157&lt;&gt;"",C157&lt;B157),"Cruza la medianoche. ","")&amp;IF(LEN(TRIM(F157))&lt;15,"Sin descripción suficiente. ","")&amp;IF(AND(ISERROR(SEARCH("R-0",F157)),ISERROR(SEARCH("CU-",F157))),"Sin ticket. ","")&amp;IF(ISNA(MATCH(E157,Datos!$E$8:$E$22,0)),"Proyecto sin valor hora. ","")&amp;IF(ISNA(MATCH(D157,Datos!$A$8:$A$22,0)),"Persona fuera del equipo. ","")))</f>
        <v/>
      </c>
      <c r="I157" s="21" t="n"/>
      <c r="J157" s="22" t="n"/>
      <c r="K157" s="23">
        <f>IF(G157="","",IF(J157&lt;&gt;"",MIN(J157,G157),IF(OR(I157="Observada",I157="Rechazada"),0,G157)))</f>
        <v/>
      </c>
      <c r="L157" s="24" t="n"/>
      <c r="M157" s="25">
        <f>IF(OR(A157="",D157=""),0,IF(COUNTIFS($A$2:A157,A157,$D$2:D157,D157)=1,1,0))</f>
        <v/>
      </c>
    </row>
    <row r="158">
      <c r="A158" s="26" t="n"/>
      <c r="B158" s="27" t="n"/>
      <c r="C158" s="27" t="n"/>
      <c r="D158" s="28" t="n"/>
      <c r="E158" s="28" t="n"/>
      <c r="F158" s="29" t="n"/>
      <c r="G158" s="30" t="n"/>
      <c r="H158" s="20">
        <f>IF(A158="","",TRIM(IF(WEEKDAY(A158,2)&gt;5,"Fin de semana. ","")&amp;IF(SUMIFS($G$2:$G$601,$A$2:$A$601,A158,$D$2:$D$601,D158)&gt;9,"Más de 9 h en el día. ","")&amp;IF(AND(B158&lt;&gt;"",C158&lt;&gt;"",C158&lt;B158),"Cruza la medianoche. ","")&amp;IF(LEN(TRIM(F158))&lt;15,"Sin descripción suficiente. ","")&amp;IF(AND(ISERROR(SEARCH("R-0",F158)),ISERROR(SEARCH("CU-",F158))),"Sin ticket. ","")&amp;IF(ISNA(MATCH(E158,Datos!$E$8:$E$22,0)),"Proyecto sin valor hora. ","")&amp;IF(ISNA(MATCH(D158,Datos!$A$8:$A$22,0)),"Persona fuera del equipo. ","")))</f>
        <v/>
      </c>
      <c r="I158" s="21" t="n"/>
      <c r="J158" s="22" t="n"/>
      <c r="K158" s="23">
        <f>IF(G158="","",IF(J158&lt;&gt;"",MIN(J158,G158),IF(OR(I158="Observada",I158="Rechazada"),0,G158)))</f>
        <v/>
      </c>
      <c r="L158" s="24" t="n"/>
      <c r="M158" s="25">
        <f>IF(OR(A158="",D158=""),0,IF(COUNTIFS($A$2:A158,A158,$D$2:D158,D158)=1,1,0))</f>
        <v/>
      </c>
    </row>
    <row r="159">
      <c r="A159" s="26" t="n"/>
      <c r="B159" s="27" t="n"/>
      <c r="C159" s="27" t="n"/>
      <c r="D159" s="28" t="n"/>
      <c r="E159" s="28" t="n"/>
      <c r="F159" s="29" t="n"/>
      <c r="G159" s="30" t="n"/>
      <c r="H159" s="20">
        <f>IF(A159="","",TRIM(IF(WEEKDAY(A159,2)&gt;5,"Fin de semana. ","")&amp;IF(SUMIFS($G$2:$G$601,$A$2:$A$601,A159,$D$2:$D$601,D159)&gt;9,"Más de 9 h en el día. ","")&amp;IF(AND(B159&lt;&gt;"",C159&lt;&gt;"",C159&lt;B159),"Cruza la medianoche. ","")&amp;IF(LEN(TRIM(F159))&lt;15,"Sin descripción suficiente. ","")&amp;IF(AND(ISERROR(SEARCH("R-0",F159)),ISERROR(SEARCH("CU-",F159))),"Sin ticket. ","")&amp;IF(ISNA(MATCH(E159,Datos!$E$8:$E$22,0)),"Proyecto sin valor hora. ","")&amp;IF(ISNA(MATCH(D159,Datos!$A$8:$A$22,0)),"Persona fuera del equipo. ","")))</f>
        <v/>
      </c>
      <c r="I159" s="21" t="n"/>
      <c r="J159" s="22" t="n"/>
      <c r="K159" s="23">
        <f>IF(G159="","",IF(J159&lt;&gt;"",MIN(J159,G159),IF(OR(I159="Observada",I159="Rechazada"),0,G159)))</f>
        <v/>
      </c>
      <c r="L159" s="24" t="n"/>
      <c r="M159" s="25">
        <f>IF(OR(A159="",D159=""),0,IF(COUNTIFS($A$2:A159,A159,$D$2:D159,D159)=1,1,0))</f>
        <v/>
      </c>
    </row>
    <row r="160">
      <c r="A160" s="26" t="n"/>
      <c r="B160" s="27" t="n"/>
      <c r="C160" s="27" t="n"/>
      <c r="D160" s="28" t="n"/>
      <c r="E160" s="28" t="n"/>
      <c r="F160" s="29" t="n"/>
      <c r="G160" s="30" t="n"/>
      <c r="H160" s="20">
        <f>IF(A160="","",TRIM(IF(WEEKDAY(A160,2)&gt;5,"Fin de semana. ","")&amp;IF(SUMIFS($G$2:$G$601,$A$2:$A$601,A160,$D$2:$D$601,D160)&gt;9,"Más de 9 h en el día. ","")&amp;IF(AND(B160&lt;&gt;"",C160&lt;&gt;"",C160&lt;B160),"Cruza la medianoche. ","")&amp;IF(LEN(TRIM(F160))&lt;15,"Sin descripción suficiente. ","")&amp;IF(AND(ISERROR(SEARCH("R-0",F160)),ISERROR(SEARCH("CU-",F160))),"Sin ticket. ","")&amp;IF(ISNA(MATCH(E160,Datos!$E$8:$E$22,0)),"Proyecto sin valor hora. ","")&amp;IF(ISNA(MATCH(D160,Datos!$A$8:$A$22,0)),"Persona fuera del equipo. ","")))</f>
        <v/>
      </c>
      <c r="I160" s="21" t="n"/>
      <c r="J160" s="22" t="n"/>
      <c r="K160" s="23">
        <f>IF(G160="","",IF(J160&lt;&gt;"",MIN(J160,G160),IF(OR(I160="Observada",I160="Rechazada"),0,G160)))</f>
        <v/>
      </c>
      <c r="L160" s="24" t="n"/>
      <c r="M160" s="25">
        <f>IF(OR(A160="",D160=""),0,IF(COUNTIFS($A$2:A160,A160,$D$2:D160,D160)=1,1,0))</f>
        <v/>
      </c>
    </row>
    <row r="161">
      <c r="A161" s="26" t="n"/>
      <c r="B161" s="27" t="n"/>
      <c r="C161" s="27" t="n"/>
      <c r="D161" s="28" t="n"/>
      <c r="E161" s="28" t="n"/>
      <c r="F161" s="29" t="n"/>
      <c r="G161" s="30" t="n"/>
      <c r="H161" s="20">
        <f>IF(A161="","",TRIM(IF(WEEKDAY(A161,2)&gt;5,"Fin de semana. ","")&amp;IF(SUMIFS($G$2:$G$601,$A$2:$A$601,A161,$D$2:$D$601,D161)&gt;9,"Más de 9 h en el día. ","")&amp;IF(AND(B161&lt;&gt;"",C161&lt;&gt;"",C161&lt;B161),"Cruza la medianoche. ","")&amp;IF(LEN(TRIM(F161))&lt;15,"Sin descripción suficiente. ","")&amp;IF(AND(ISERROR(SEARCH("R-0",F161)),ISERROR(SEARCH("CU-",F161))),"Sin ticket. ","")&amp;IF(ISNA(MATCH(E161,Datos!$E$8:$E$22,0)),"Proyecto sin valor hora. ","")&amp;IF(ISNA(MATCH(D161,Datos!$A$8:$A$22,0)),"Persona fuera del equipo. ","")))</f>
        <v/>
      </c>
      <c r="I161" s="21" t="n"/>
      <c r="J161" s="22" t="n"/>
      <c r="K161" s="23">
        <f>IF(G161="","",IF(J161&lt;&gt;"",MIN(J161,G161),IF(OR(I161="Observada",I161="Rechazada"),0,G161)))</f>
        <v/>
      </c>
      <c r="L161" s="24" t="n"/>
      <c r="M161" s="25">
        <f>IF(OR(A161="",D161=""),0,IF(COUNTIFS($A$2:A161,A161,$D$2:D161,D161)=1,1,0))</f>
        <v/>
      </c>
    </row>
    <row r="162">
      <c r="A162" s="26" t="n"/>
      <c r="B162" s="27" t="n"/>
      <c r="C162" s="27" t="n"/>
      <c r="D162" s="28" t="n"/>
      <c r="E162" s="28" t="n"/>
      <c r="F162" s="29" t="n"/>
      <c r="G162" s="30" t="n"/>
      <c r="H162" s="20">
        <f>IF(A162="","",TRIM(IF(WEEKDAY(A162,2)&gt;5,"Fin de semana. ","")&amp;IF(SUMIFS($G$2:$G$601,$A$2:$A$601,A162,$D$2:$D$601,D162)&gt;9,"Más de 9 h en el día. ","")&amp;IF(AND(B162&lt;&gt;"",C162&lt;&gt;"",C162&lt;B162),"Cruza la medianoche. ","")&amp;IF(LEN(TRIM(F162))&lt;15,"Sin descripción suficiente. ","")&amp;IF(AND(ISERROR(SEARCH("R-0",F162)),ISERROR(SEARCH("CU-",F162))),"Sin ticket. ","")&amp;IF(ISNA(MATCH(E162,Datos!$E$8:$E$22,0)),"Proyecto sin valor hora. ","")&amp;IF(ISNA(MATCH(D162,Datos!$A$8:$A$22,0)),"Persona fuera del equipo. ","")))</f>
        <v/>
      </c>
      <c r="I162" s="21" t="n"/>
      <c r="J162" s="22" t="n"/>
      <c r="K162" s="23">
        <f>IF(G162="","",IF(J162&lt;&gt;"",MIN(J162,G162),IF(OR(I162="Observada",I162="Rechazada"),0,G162)))</f>
        <v/>
      </c>
      <c r="L162" s="24" t="n"/>
      <c r="M162" s="25">
        <f>IF(OR(A162="",D162=""),0,IF(COUNTIFS($A$2:A162,A162,$D$2:D162,D162)=1,1,0))</f>
        <v/>
      </c>
    </row>
    <row r="163">
      <c r="A163" s="26" t="n"/>
      <c r="B163" s="27" t="n"/>
      <c r="C163" s="27" t="n"/>
      <c r="D163" s="28" t="n"/>
      <c r="E163" s="28" t="n"/>
      <c r="F163" s="29" t="n"/>
      <c r="G163" s="30" t="n"/>
      <c r="H163" s="20">
        <f>IF(A163="","",TRIM(IF(WEEKDAY(A163,2)&gt;5,"Fin de semana. ","")&amp;IF(SUMIFS($G$2:$G$601,$A$2:$A$601,A163,$D$2:$D$601,D163)&gt;9,"Más de 9 h en el día. ","")&amp;IF(AND(B163&lt;&gt;"",C163&lt;&gt;"",C163&lt;B163),"Cruza la medianoche. ","")&amp;IF(LEN(TRIM(F163))&lt;15,"Sin descripción suficiente. ","")&amp;IF(AND(ISERROR(SEARCH("R-0",F163)),ISERROR(SEARCH("CU-",F163))),"Sin ticket. ","")&amp;IF(ISNA(MATCH(E163,Datos!$E$8:$E$22,0)),"Proyecto sin valor hora. ","")&amp;IF(ISNA(MATCH(D163,Datos!$A$8:$A$22,0)),"Persona fuera del equipo. ","")))</f>
        <v/>
      </c>
      <c r="I163" s="21" t="n"/>
      <c r="J163" s="22" t="n"/>
      <c r="K163" s="23">
        <f>IF(G163="","",IF(J163&lt;&gt;"",MIN(J163,G163),IF(OR(I163="Observada",I163="Rechazada"),0,G163)))</f>
        <v/>
      </c>
      <c r="L163" s="24" t="n"/>
      <c r="M163" s="25">
        <f>IF(OR(A163="",D163=""),0,IF(COUNTIFS($A$2:A163,A163,$D$2:D163,D163)=1,1,0))</f>
        <v/>
      </c>
    </row>
    <row r="164">
      <c r="A164" s="26" t="n"/>
      <c r="B164" s="27" t="n"/>
      <c r="C164" s="27" t="n"/>
      <c r="D164" s="28" t="n"/>
      <c r="E164" s="28" t="n"/>
      <c r="F164" s="29" t="n"/>
      <c r="G164" s="30" t="n"/>
      <c r="H164" s="20">
        <f>IF(A164="","",TRIM(IF(WEEKDAY(A164,2)&gt;5,"Fin de semana. ","")&amp;IF(SUMIFS($G$2:$G$601,$A$2:$A$601,A164,$D$2:$D$601,D164)&gt;9,"Más de 9 h en el día. ","")&amp;IF(AND(B164&lt;&gt;"",C164&lt;&gt;"",C164&lt;B164),"Cruza la medianoche. ","")&amp;IF(LEN(TRIM(F164))&lt;15,"Sin descripción suficiente. ","")&amp;IF(AND(ISERROR(SEARCH("R-0",F164)),ISERROR(SEARCH("CU-",F164))),"Sin ticket. ","")&amp;IF(ISNA(MATCH(E164,Datos!$E$8:$E$22,0)),"Proyecto sin valor hora. ","")&amp;IF(ISNA(MATCH(D164,Datos!$A$8:$A$22,0)),"Persona fuera del equipo. ","")))</f>
        <v/>
      </c>
      <c r="I164" s="21" t="n"/>
      <c r="J164" s="22" t="n"/>
      <c r="K164" s="23">
        <f>IF(G164="","",IF(J164&lt;&gt;"",MIN(J164,G164),IF(OR(I164="Observada",I164="Rechazada"),0,G164)))</f>
        <v/>
      </c>
      <c r="L164" s="24" t="n"/>
      <c r="M164" s="25">
        <f>IF(OR(A164="",D164=""),0,IF(COUNTIFS($A$2:A164,A164,$D$2:D164,D164)=1,1,0))</f>
        <v/>
      </c>
    </row>
    <row r="165">
      <c r="A165" s="26" t="n"/>
      <c r="B165" s="27" t="n"/>
      <c r="C165" s="27" t="n"/>
      <c r="D165" s="28" t="n"/>
      <c r="E165" s="28" t="n"/>
      <c r="F165" s="29" t="n"/>
      <c r="G165" s="30" t="n"/>
      <c r="H165" s="20">
        <f>IF(A165="","",TRIM(IF(WEEKDAY(A165,2)&gt;5,"Fin de semana. ","")&amp;IF(SUMIFS($G$2:$G$601,$A$2:$A$601,A165,$D$2:$D$601,D165)&gt;9,"Más de 9 h en el día. ","")&amp;IF(AND(B165&lt;&gt;"",C165&lt;&gt;"",C165&lt;B165),"Cruza la medianoche. ","")&amp;IF(LEN(TRIM(F165))&lt;15,"Sin descripción suficiente. ","")&amp;IF(AND(ISERROR(SEARCH("R-0",F165)),ISERROR(SEARCH("CU-",F165))),"Sin ticket. ","")&amp;IF(ISNA(MATCH(E165,Datos!$E$8:$E$22,0)),"Proyecto sin valor hora. ","")&amp;IF(ISNA(MATCH(D165,Datos!$A$8:$A$22,0)),"Persona fuera del equipo. ","")))</f>
        <v/>
      </c>
      <c r="I165" s="21" t="n"/>
      <c r="J165" s="22" t="n"/>
      <c r="K165" s="23">
        <f>IF(G165="","",IF(J165&lt;&gt;"",MIN(J165,G165),IF(OR(I165="Observada",I165="Rechazada"),0,G165)))</f>
        <v/>
      </c>
      <c r="L165" s="24" t="n"/>
      <c r="M165" s="25">
        <f>IF(OR(A165="",D165=""),0,IF(COUNTIFS($A$2:A165,A165,$D$2:D165,D165)=1,1,0))</f>
        <v/>
      </c>
    </row>
    <row r="166">
      <c r="A166" s="26" t="n"/>
      <c r="B166" s="27" t="n"/>
      <c r="C166" s="27" t="n"/>
      <c r="D166" s="28" t="n"/>
      <c r="E166" s="28" t="n"/>
      <c r="F166" s="29" t="n"/>
      <c r="G166" s="30" t="n"/>
      <c r="H166" s="20">
        <f>IF(A166="","",TRIM(IF(WEEKDAY(A166,2)&gt;5,"Fin de semana. ","")&amp;IF(SUMIFS($G$2:$G$601,$A$2:$A$601,A166,$D$2:$D$601,D166)&gt;9,"Más de 9 h en el día. ","")&amp;IF(AND(B166&lt;&gt;"",C166&lt;&gt;"",C166&lt;B166),"Cruza la medianoche. ","")&amp;IF(LEN(TRIM(F166))&lt;15,"Sin descripción suficiente. ","")&amp;IF(AND(ISERROR(SEARCH("R-0",F166)),ISERROR(SEARCH("CU-",F166))),"Sin ticket. ","")&amp;IF(ISNA(MATCH(E166,Datos!$E$8:$E$22,0)),"Proyecto sin valor hora. ","")&amp;IF(ISNA(MATCH(D166,Datos!$A$8:$A$22,0)),"Persona fuera del equipo. ","")))</f>
        <v/>
      </c>
      <c r="I166" s="21" t="n"/>
      <c r="J166" s="22" t="n"/>
      <c r="K166" s="23">
        <f>IF(G166="","",IF(J166&lt;&gt;"",MIN(J166,G166),IF(OR(I166="Observada",I166="Rechazada"),0,G166)))</f>
        <v/>
      </c>
      <c r="L166" s="24" t="n"/>
      <c r="M166" s="25">
        <f>IF(OR(A166="",D166=""),0,IF(COUNTIFS($A$2:A166,A166,$D$2:D166,D166)=1,1,0))</f>
        <v/>
      </c>
    </row>
    <row r="167">
      <c r="A167" s="26" t="n"/>
      <c r="B167" s="27" t="n"/>
      <c r="C167" s="27" t="n"/>
      <c r="D167" s="28" t="n"/>
      <c r="E167" s="28" t="n"/>
      <c r="F167" s="29" t="n"/>
      <c r="G167" s="30" t="n"/>
      <c r="H167" s="20">
        <f>IF(A167="","",TRIM(IF(WEEKDAY(A167,2)&gt;5,"Fin de semana. ","")&amp;IF(SUMIFS($G$2:$G$601,$A$2:$A$601,A167,$D$2:$D$601,D167)&gt;9,"Más de 9 h en el día. ","")&amp;IF(AND(B167&lt;&gt;"",C167&lt;&gt;"",C167&lt;B167),"Cruza la medianoche. ","")&amp;IF(LEN(TRIM(F167))&lt;15,"Sin descripción suficiente. ","")&amp;IF(AND(ISERROR(SEARCH("R-0",F167)),ISERROR(SEARCH("CU-",F167))),"Sin ticket. ","")&amp;IF(ISNA(MATCH(E167,Datos!$E$8:$E$22,0)),"Proyecto sin valor hora. ","")&amp;IF(ISNA(MATCH(D167,Datos!$A$8:$A$22,0)),"Persona fuera del equipo. ","")))</f>
        <v/>
      </c>
      <c r="I167" s="21" t="n"/>
      <c r="J167" s="22" t="n"/>
      <c r="K167" s="23">
        <f>IF(G167="","",IF(J167&lt;&gt;"",MIN(J167,G167),IF(OR(I167="Observada",I167="Rechazada"),0,G167)))</f>
        <v/>
      </c>
      <c r="L167" s="24" t="n"/>
      <c r="M167" s="25">
        <f>IF(OR(A167="",D167=""),0,IF(COUNTIFS($A$2:A167,A167,$D$2:D167,D167)=1,1,0))</f>
        <v/>
      </c>
    </row>
    <row r="168">
      <c r="A168" s="26" t="n"/>
      <c r="B168" s="27" t="n"/>
      <c r="C168" s="27" t="n"/>
      <c r="D168" s="28" t="n"/>
      <c r="E168" s="28" t="n"/>
      <c r="F168" s="29" t="n"/>
      <c r="G168" s="30" t="n"/>
      <c r="H168" s="20">
        <f>IF(A168="","",TRIM(IF(WEEKDAY(A168,2)&gt;5,"Fin de semana. ","")&amp;IF(SUMIFS($G$2:$G$601,$A$2:$A$601,A168,$D$2:$D$601,D168)&gt;9,"Más de 9 h en el día. ","")&amp;IF(AND(B168&lt;&gt;"",C168&lt;&gt;"",C168&lt;B168),"Cruza la medianoche. ","")&amp;IF(LEN(TRIM(F168))&lt;15,"Sin descripción suficiente. ","")&amp;IF(AND(ISERROR(SEARCH("R-0",F168)),ISERROR(SEARCH("CU-",F168))),"Sin ticket. ","")&amp;IF(ISNA(MATCH(E168,Datos!$E$8:$E$22,0)),"Proyecto sin valor hora. ","")&amp;IF(ISNA(MATCH(D168,Datos!$A$8:$A$22,0)),"Persona fuera del equipo. ","")))</f>
        <v/>
      </c>
      <c r="I168" s="21" t="n"/>
      <c r="J168" s="22" t="n"/>
      <c r="K168" s="23">
        <f>IF(G168="","",IF(J168&lt;&gt;"",MIN(J168,G168),IF(OR(I168="Observada",I168="Rechazada"),0,G168)))</f>
        <v/>
      </c>
      <c r="L168" s="24" t="n"/>
      <c r="M168" s="25">
        <f>IF(OR(A168="",D168=""),0,IF(COUNTIFS($A$2:A168,A168,$D$2:D168,D168)=1,1,0))</f>
        <v/>
      </c>
    </row>
    <row r="169">
      <c r="A169" s="26" t="n"/>
      <c r="B169" s="27" t="n"/>
      <c r="C169" s="27" t="n"/>
      <c r="D169" s="28" t="n"/>
      <c r="E169" s="28" t="n"/>
      <c r="F169" s="29" t="n"/>
      <c r="G169" s="30" t="n"/>
      <c r="H169" s="20">
        <f>IF(A169="","",TRIM(IF(WEEKDAY(A169,2)&gt;5,"Fin de semana. ","")&amp;IF(SUMIFS($G$2:$G$601,$A$2:$A$601,A169,$D$2:$D$601,D169)&gt;9,"Más de 9 h en el día. ","")&amp;IF(AND(B169&lt;&gt;"",C169&lt;&gt;"",C169&lt;B169),"Cruza la medianoche. ","")&amp;IF(LEN(TRIM(F169))&lt;15,"Sin descripción suficiente. ","")&amp;IF(AND(ISERROR(SEARCH("R-0",F169)),ISERROR(SEARCH("CU-",F169))),"Sin ticket. ","")&amp;IF(ISNA(MATCH(E169,Datos!$E$8:$E$22,0)),"Proyecto sin valor hora. ","")&amp;IF(ISNA(MATCH(D169,Datos!$A$8:$A$22,0)),"Persona fuera del equipo. ","")))</f>
        <v/>
      </c>
      <c r="I169" s="21" t="n"/>
      <c r="J169" s="22" t="n"/>
      <c r="K169" s="23">
        <f>IF(G169="","",IF(J169&lt;&gt;"",MIN(J169,G169),IF(OR(I169="Observada",I169="Rechazada"),0,G169)))</f>
        <v/>
      </c>
      <c r="L169" s="24" t="n"/>
      <c r="M169" s="25">
        <f>IF(OR(A169="",D169=""),0,IF(COUNTIFS($A$2:A169,A169,$D$2:D169,D169)=1,1,0))</f>
        <v/>
      </c>
    </row>
    <row r="170">
      <c r="A170" s="26" t="n"/>
      <c r="B170" s="27" t="n"/>
      <c r="C170" s="27" t="n"/>
      <c r="D170" s="28" t="n"/>
      <c r="E170" s="28" t="n"/>
      <c r="F170" s="29" t="n"/>
      <c r="G170" s="30" t="n"/>
      <c r="H170" s="20">
        <f>IF(A170="","",TRIM(IF(WEEKDAY(A170,2)&gt;5,"Fin de semana. ","")&amp;IF(SUMIFS($G$2:$G$601,$A$2:$A$601,A170,$D$2:$D$601,D170)&gt;9,"Más de 9 h en el día. ","")&amp;IF(AND(B170&lt;&gt;"",C170&lt;&gt;"",C170&lt;B170),"Cruza la medianoche. ","")&amp;IF(LEN(TRIM(F170))&lt;15,"Sin descripción suficiente. ","")&amp;IF(AND(ISERROR(SEARCH("R-0",F170)),ISERROR(SEARCH("CU-",F170))),"Sin ticket. ","")&amp;IF(ISNA(MATCH(E170,Datos!$E$8:$E$22,0)),"Proyecto sin valor hora. ","")&amp;IF(ISNA(MATCH(D170,Datos!$A$8:$A$22,0)),"Persona fuera del equipo. ","")))</f>
        <v/>
      </c>
      <c r="I170" s="21" t="n"/>
      <c r="J170" s="22" t="n"/>
      <c r="K170" s="23">
        <f>IF(G170="","",IF(J170&lt;&gt;"",MIN(J170,G170),IF(OR(I170="Observada",I170="Rechazada"),0,G170)))</f>
        <v/>
      </c>
      <c r="L170" s="24" t="n"/>
      <c r="M170" s="25">
        <f>IF(OR(A170="",D170=""),0,IF(COUNTIFS($A$2:A170,A170,$D$2:D170,D170)=1,1,0))</f>
        <v/>
      </c>
    </row>
    <row r="171">
      <c r="A171" s="26" t="n"/>
      <c r="B171" s="27" t="n"/>
      <c r="C171" s="27" t="n"/>
      <c r="D171" s="28" t="n"/>
      <c r="E171" s="28" t="n"/>
      <c r="F171" s="29" t="n"/>
      <c r="G171" s="30" t="n"/>
      <c r="H171" s="20">
        <f>IF(A171="","",TRIM(IF(WEEKDAY(A171,2)&gt;5,"Fin de semana. ","")&amp;IF(SUMIFS($G$2:$G$601,$A$2:$A$601,A171,$D$2:$D$601,D171)&gt;9,"Más de 9 h en el día. ","")&amp;IF(AND(B171&lt;&gt;"",C171&lt;&gt;"",C171&lt;B171),"Cruza la medianoche. ","")&amp;IF(LEN(TRIM(F171))&lt;15,"Sin descripción suficiente. ","")&amp;IF(AND(ISERROR(SEARCH("R-0",F171)),ISERROR(SEARCH("CU-",F171))),"Sin ticket. ","")&amp;IF(ISNA(MATCH(E171,Datos!$E$8:$E$22,0)),"Proyecto sin valor hora. ","")&amp;IF(ISNA(MATCH(D171,Datos!$A$8:$A$22,0)),"Persona fuera del equipo. ","")))</f>
        <v/>
      </c>
      <c r="I171" s="21" t="n"/>
      <c r="J171" s="22" t="n"/>
      <c r="K171" s="23">
        <f>IF(G171="","",IF(J171&lt;&gt;"",MIN(J171,G171),IF(OR(I171="Observada",I171="Rechazada"),0,G171)))</f>
        <v/>
      </c>
      <c r="L171" s="24" t="n"/>
      <c r="M171" s="25">
        <f>IF(OR(A171="",D171=""),0,IF(COUNTIFS($A$2:A171,A171,$D$2:D171,D171)=1,1,0))</f>
        <v/>
      </c>
    </row>
    <row r="172">
      <c r="A172" s="26" t="n"/>
      <c r="B172" s="27" t="n"/>
      <c r="C172" s="27" t="n"/>
      <c r="D172" s="28" t="n"/>
      <c r="E172" s="28" t="n"/>
      <c r="F172" s="29" t="n"/>
      <c r="G172" s="30" t="n"/>
      <c r="H172" s="20">
        <f>IF(A172="","",TRIM(IF(WEEKDAY(A172,2)&gt;5,"Fin de semana. ","")&amp;IF(SUMIFS($G$2:$G$601,$A$2:$A$601,A172,$D$2:$D$601,D172)&gt;9,"Más de 9 h en el día. ","")&amp;IF(AND(B172&lt;&gt;"",C172&lt;&gt;"",C172&lt;B172),"Cruza la medianoche. ","")&amp;IF(LEN(TRIM(F172))&lt;15,"Sin descripción suficiente. ","")&amp;IF(AND(ISERROR(SEARCH("R-0",F172)),ISERROR(SEARCH("CU-",F172))),"Sin ticket. ","")&amp;IF(ISNA(MATCH(E172,Datos!$E$8:$E$22,0)),"Proyecto sin valor hora. ","")&amp;IF(ISNA(MATCH(D172,Datos!$A$8:$A$22,0)),"Persona fuera del equipo. ","")))</f>
        <v/>
      </c>
      <c r="I172" s="21" t="n"/>
      <c r="J172" s="22" t="n"/>
      <c r="K172" s="23">
        <f>IF(G172="","",IF(J172&lt;&gt;"",MIN(J172,G172),IF(OR(I172="Observada",I172="Rechazada"),0,G172)))</f>
        <v/>
      </c>
      <c r="L172" s="24" t="n"/>
      <c r="M172" s="25">
        <f>IF(OR(A172="",D172=""),0,IF(COUNTIFS($A$2:A172,A172,$D$2:D172,D172)=1,1,0))</f>
        <v/>
      </c>
    </row>
    <row r="173">
      <c r="A173" s="26" t="n"/>
      <c r="B173" s="27" t="n"/>
      <c r="C173" s="27" t="n"/>
      <c r="D173" s="28" t="n"/>
      <c r="E173" s="28" t="n"/>
      <c r="F173" s="29" t="n"/>
      <c r="G173" s="30" t="n"/>
      <c r="H173" s="20">
        <f>IF(A173="","",TRIM(IF(WEEKDAY(A173,2)&gt;5,"Fin de semana. ","")&amp;IF(SUMIFS($G$2:$G$601,$A$2:$A$601,A173,$D$2:$D$601,D173)&gt;9,"Más de 9 h en el día. ","")&amp;IF(AND(B173&lt;&gt;"",C173&lt;&gt;"",C173&lt;B173),"Cruza la medianoche. ","")&amp;IF(LEN(TRIM(F173))&lt;15,"Sin descripción suficiente. ","")&amp;IF(AND(ISERROR(SEARCH("R-0",F173)),ISERROR(SEARCH("CU-",F173))),"Sin ticket. ","")&amp;IF(ISNA(MATCH(E173,Datos!$E$8:$E$22,0)),"Proyecto sin valor hora. ","")&amp;IF(ISNA(MATCH(D173,Datos!$A$8:$A$22,0)),"Persona fuera del equipo. ","")))</f>
        <v/>
      </c>
      <c r="I173" s="21" t="n"/>
      <c r="J173" s="22" t="n"/>
      <c r="K173" s="23">
        <f>IF(G173="","",IF(J173&lt;&gt;"",MIN(J173,G173),IF(OR(I173="Observada",I173="Rechazada"),0,G173)))</f>
        <v/>
      </c>
      <c r="L173" s="24" t="n"/>
      <c r="M173" s="25">
        <f>IF(OR(A173="",D173=""),0,IF(COUNTIFS($A$2:A173,A173,$D$2:D173,D173)=1,1,0))</f>
        <v/>
      </c>
    </row>
    <row r="174">
      <c r="A174" s="26" t="n"/>
      <c r="B174" s="27" t="n"/>
      <c r="C174" s="27" t="n"/>
      <c r="D174" s="28" t="n"/>
      <c r="E174" s="28" t="n"/>
      <c r="F174" s="29" t="n"/>
      <c r="G174" s="30" t="n"/>
      <c r="H174" s="20">
        <f>IF(A174="","",TRIM(IF(WEEKDAY(A174,2)&gt;5,"Fin de semana. ","")&amp;IF(SUMIFS($G$2:$G$601,$A$2:$A$601,A174,$D$2:$D$601,D174)&gt;9,"Más de 9 h en el día. ","")&amp;IF(AND(B174&lt;&gt;"",C174&lt;&gt;"",C174&lt;B174),"Cruza la medianoche. ","")&amp;IF(LEN(TRIM(F174))&lt;15,"Sin descripción suficiente. ","")&amp;IF(AND(ISERROR(SEARCH("R-0",F174)),ISERROR(SEARCH("CU-",F174))),"Sin ticket. ","")&amp;IF(ISNA(MATCH(E174,Datos!$E$8:$E$22,0)),"Proyecto sin valor hora. ","")&amp;IF(ISNA(MATCH(D174,Datos!$A$8:$A$22,0)),"Persona fuera del equipo. ","")))</f>
        <v/>
      </c>
      <c r="I174" s="21" t="n"/>
      <c r="J174" s="22" t="n"/>
      <c r="K174" s="23">
        <f>IF(G174="","",IF(J174&lt;&gt;"",MIN(J174,G174),IF(OR(I174="Observada",I174="Rechazada"),0,G174)))</f>
        <v/>
      </c>
      <c r="L174" s="24" t="n"/>
      <c r="M174" s="25">
        <f>IF(OR(A174="",D174=""),0,IF(COUNTIFS($A$2:A174,A174,$D$2:D174,D174)=1,1,0))</f>
        <v/>
      </c>
    </row>
    <row r="175">
      <c r="A175" s="26" t="n"/>
      <c r="B175" s="27" t="n"/>
      <c r="C175" s="27" t="n"/>
      <c r="D175" s="28" t="n"/>
      <c r="E175" s="28" t="n"/>
      <c r="F175" s="29" t="n"/>
      <c r="G175" s="30" t="n"/>
      <c r="H175" s="20">
        <f>IF(A175="","",TRIM(IF(WEEKDAY(A175,2)&gt;5,"Fin de semana. ","")&amp;IF(SUMIFS($G$2:$G$601,$A$2:$A$601,A175,$D$2:$D$601,D175)&gt;9,"Más de 9 h en el día. ","")&amp;IF(AND(B175&lt;&gt;"",C175&lt;&gt;"",C175&lt;B175),"Cruza la medianoche. ","")&amp;IF(LEN(TRIM(F175))&lt;15,"Sin descripción suficiente. ","")&amp;IF(AND(ISERROR(SEARCH("R-0",F175)),ISERROR(SEARCH("CU-",F175))),"Sin ticket. ","")&amp;IF(ISNA(MATCH(E175,Datos!$E$8:$E$22,0)),"Proyecto sin valor hora. ","")&amp;IF(ISNA(MATCH(D175,Datos!$A$8:$A$22,0)),"Persona fuera del equipo. ","")))</f>
        <v/>
      </c>
      <c r="I175" s="21" t="n"/>
      <c r="J175" s="22" t="n"/>
      <c r="K175" s="23">
        <f>IF(G175="","",IF(J175&lt;&gt;"",MIN(J175,G175),IF(OR(I175="Observada",I175="Rechazada"),0,G175)))</f>
        <v/>
      </c>
      <c r="L175" s="24" t="n"/>
      <c r="M175" s="25">
        <f>IF(OR(A175="",D175=""),0,IF(COUNTIFS($A$2:A175,A175,$D$2:D175,D175)=1,1,0))</f>
        <v/>
      </c>
    </row>
    <row r="176">
      <c r="A176" s="26" t="n"/>
      <c r="B176" s="27" t="n"/>
      <c r="C176" s="27" t="n"/>
      <c r="D176" s="28" t="n"/>
      <c r="E176" s="28" t="n"/>
      <c r="F176" s="29" t="n"/>
      <c r="G176" s="30" t="n"/>
      <c r="H176" s="20">
        <f>IF(A176="","",TRIM(IF(WEEKDAY(A176,2)&gt;5,"Fin de semana. ","")&amp;IF(SUMIFS($G$2:$G$601,$A$2:$A$601,A176,$D$2:$D$601,D176)&gt;9,"Más de 9 h en el día. ","")&amp;IF(AND(B176&lt;&gt;"",C176&lt;&gt;"",C176&lt;B176),"Cruza la medianoche. ","")&amp;IF(LEN(TRIM(F176))&lt;15,"Sin descripción suficiente. ","")&amp;IF(AND(ISERROR(SEARCH("R-0",F176)),ISERROR(SEARCH("CU-",F176))),"Sin ticket. ","")&amp;IF(ISNA(MATCH(E176,Datos!$E$8:$E$22,0)),"Proyecto sin valor hora. ","")&amp;IF(ISNA(MATCH(D176,Datos!$A$8:$A$22,0)),"Persona fuera del equipo. ","")))</f>
        <v/>
      </c>
      <c r="I176" s="21" t="n"/>
      <c r="J176" s="22" t="n"/>
      <c r="K176" s="23">
        <f>IF(G176="","",IF(J176&lt;&gt;"",MIN(J176,G176),IF(OR(I176="Observada",I176="Rechazada"),0,G176)))</f>
        <v/>
      </c>
      <c r="L176" s="24" t="n"/>
      <c r="M176" s="25">
        <f>IF(OR(A176="",D176=""),0,IF(COUNTIFS($A$2:A176,A176,$D$2:D176,D176)=1,1,0))</f>
        <v/>
      </c>
    </row>
    <row r="177">
      <c r="A177" s="26" t="n"/>
      <c r="B177" s="27" t="n"/>
      <c r="C177" s="27" t="n"/>
      <c r="D177" s="28" t="n"/>
      <c r="E177" s="28" t="n"/>
      <c r="F177" s="29" t="n"/>
      <c r="G177" s="30" t="n"/>
      <c r="H177" s="20">
        <f>IF(A177="","",TRIM(IF(WEEKDAY(A177,2)&gt;5,"Fin de semana. ","")&amp;IF(SUMIFS($G$2:$G$601,$A$2:$A$601,A177,$D$2:$D$601,D177)&gt;9,"Más de 9 h en el día. ","")&amp;IF(AND(B177&lt;&gt;"",C177&lt;&gt;"",C177&lt;B177),"Cruza la medianoche. ","")&amp;IF(LEN(TRIM(F177))&lt;15,"Sin descripción suficiente. ","")&amp;IF(AND(ISERROR(SEARCH("R-0",F177)),ISERROR(SEARCH("CU-",F177))),"Sin ticket. ","")&amp;IF(ISNA(MATCH(E177,Datos!$E$8:$E$22,0)),"Proyecto sin valor hora. ","")&amp;IF(ISNA(MATCH(D177,Datos!$A$8:$A$22,0)),"Persona fuera del equipo. ","")))</f>
        <v/>
      </c>
      <c r="I177" s="21" t="n"/>
      <c r="J177" s="22" t="n"/>
      <c r="K177" s="23">
        <f>IF(G177="","",IF(J177&lt;&gt;"",MIN(J177,G177),IF(OR(I177="Observada",I177="Rechazada"),0,G177)))</f>
        <v/>
      </c>
      <c r="L177" s="24" t="n"/>
      <c r="M177" s="25">
        <f>IF(OR(A177="",D177=""),0,IF(COUNTIFS($A$2:A177,A177,$D$2:D177,D177)=1,1,0))</f>
        <v/>
      </c>
    </row>
    <row r="178">
      <c r="A178" s="26" t="n"/>
      <c r="B178" s="27" t="n"/>
      <c r="C178" s="27" t="n"/>
      <c r="D178" s="28" t="n"/>
      <c r="E178" s="28" t="n"/>
      <c r="F178" s="29" t="n"/>
      <c r="G178" s="30" t="n"/>
      <c r="H178" s="20">
        <f>IF(A178="","",TRIM(IF(WEEKDAY(A178,2)&gt;5,"Fin de semana. ","")&amp;IF(SUMIFS($G$2:$G$601,$A$2:$A$601,A178,$D$2:$D$601,D178)&gt;9,"Más de 9 h en el día. ","")&amp;IF(AND(B178&lt;&gt;"",C178&lt;&gt;"",C178&lt;B178),"Cruza la medianoche. ","")&amp;IF(LEN(TRIM(F178))&lt;15,"Sin descripción suficiente. ","")&amp;IF(AND(ISERROR(SEARCH("R-0",F178)),ISERROR(SEARCH("CU-",F178))),"Sin ticket. ","")&amp;IF(ISNA(MATCH(E178,Datos!$E$8:$E$22,0)),"Proyecto sin valor hora. ","")&amp;IF(ISNA(MATCH(D178,Datos!$A$8:$A$22,0)),"Persona fuera del equipo. ","")))</f>
        <v/>
      </c>
      <c r="I178" s="21" t="n"/>
      <c r="J178" s="22" t="n"/>
      <c r="K178" s="23">
        <f>IF(G178="","",IF(J178&lt;&gt;"",MIN(J178,G178),IF(OR(I178="Observada",I178="Rechazada"),0,G178)))</f>
        <v/>
      </c>
      <c r="L178" s="24" t="n"/>
      <c r="M178" s="25">
        <f>IF(OR(A178="",D178=""),0,IF(COUNTIFS($A$2:A178,A178,$D$2:D178,D178)=1,1,0))</f>
        <v/>
      </c>
    </row>
    <row r="179">
      <c r="A179" s="26" t="n"/>
      <c r="B179" s="27" t="n"/>
      <c r="C179" s="27" t="n"/>
      <c r="D179" s="28" t="n"/>
      <c r="E179" s="28" t="n"/>
      <c r="F179" s="29" t="n"/>
      <c r="G179" s="30" t="n"/>
      <c r="H179" s="20">
        <f>IF(A179="","",TRIM(IF(WEEKDAY(A179,2)&gt;5,"Fin de semana. ","")&amp;IF(SUMIFS($G$2:$G$601,$A$2:$A$601,A179,$D$2:$D$601,D179)&gt;9,"Más de 9 h en el día. ","")&amp;IF(AND(B179&lt;&gt;"",C179&lt;&gt;"",C179&lt;B179),"Cruza la medianoche. ","")&amp;IF(LEN(TRIM(F179))&lt;15,"Sin descripción suficiente. ","")&amp;IF(AND(ISERROR(SEARCH("R-0",F179)),ISERROR(SEARCH("CU-",F179))),"Sin ticket. ","")&amp;IF(ISNA(MATCH(E179,Datos!$E$8:$E$22,0)),"Proyecto sin valor hora. ","")&amp;IF(ISNA(MATCH(D179,Datos!$A$8:$A$22,0)),"Persona fuera del equipo. ","")))</f>
        <v/>
      </c>
      <c r="I179" s="21" t="n"/>
      <c r="J179" s="22" t="n"/>
      <c r="K179" s="23">
        <f>IF(G179="","",IF(J179&lt;&gt;"",MIN(J179,G179),IF(OR(I179="Observada",I179="Rechazada"),0,G179)))</f>
        <v/>
      </c>
      <c r="L179" s="24" t="n"/>
      <c r="M179" s="25">
        <f>IF(OR(A179="",D179=""),0,IF(COUNTIFS($A$2:A179,A179,$D$2:D179,D179)=1,1,0))</f>
        <v/>
      </c>
    </row>
    <row r="180">
      <c r="A180" s="26" t="n"/>
      <c r="B180" s="27" t="n"/>
      <c r="C180" s="27" t="n"/>
      <c r="D180" s="28" t="n"/>
      <c r="E180" s="28" t="n"/>
      <c r="F180" s="29" t="n"/>
      <c r="G180" s="30" t="n"/>
      <c r="H180" s="20">
        <f>IF(A180="","",TRIM(IF(WEEKDAY(A180,2)&gt;5,"Fin de semana. ","")&amp;IF(SUMIFS($G$2:$G$601,$A$2:$A$601,A180,$D$2:$D$601,D180)&gt;9,"Más de 9 h en el día. ","")&amp;IF(AND(B180&lt;&gt;"",C180&lt;&gt;"",C180&lt;B180),"Cruza la medianoche. ","")&amp;IF(LEN(TRIM(F180))&lt;15,"Sin descripción suficiente. ","")&amp;IF(AND(ISERROR(SEARCH("R-0",F180)),ISERROR(SEARCH("CU-",F180))),"Sin ticket. ","")&amp;IF(ISNA(MATCH(E180,Datos!$E$8:$E$22,0)),"Proyecto sin valor hora. ","")&amp;IF(ISNA(MATCH(D180,Datos!$A$8:$A$22,0)),"Persona fuera del equipo. ","")))</f>
        <v/>
      </c>
      <c r="I180" s="21" t="n"/>
      <c r="J180" s="22" t="n"/>
      <c r="K180" s="23">
        <f>IF(G180="","",IF(J180&lt;&gt;"",MIN(J180,G180),IF(OR(I180="Observada",I180="Rechazada"),0,G180)))</f>
        <v/>
      </c>
      <c r="L180" s="24" t="n"/>
      <c r="M180" s="25">
        <f>IF(OR(A180="",D180=""),0,IF(COUNTIFS($A$2:A180,A180,$D$2:D180,D180)=1,1,0))</f>
        <v/>
      </c>
    </row>
    <row r="181">
      <c r="A181" s="26" t="n"/>
      <c r="B181" s="27" t="n"/>
      <c r="C181" s="27" t="n"/>
      <c r="D181" s="28" t="n"/>
      <c r="E181" s="28" t="n"/>
      <c r="F181" s="29" t="n"/>
      <c r="G181" s="30" t="n"/>
      <c r="H181" s="20">
        <f>IF(A181="","",TRIM(IF(WEEKDAY(A181,2)&gt;5,"Fin de semana. ","")&amp;IF(SUMIFS($G$2:$G$601,$A$2:$A$601,A181,$D$2:$D$601,D181)&gt;9,"Más de 9 h en el día. ","")&amp;IF(AND(B181&lt;&gt;"",C181&lt;&gt;"",C181&lt;B181),"Cruza la medianoche. ","")&amp;IF(LEN(TRIM(F181))&lt;15,"Sin descripción suficiente. ","")&amp;IF(AND(ISERROR(SEARCH("R-0",F181)),ISERROR(SEARCH("CU-",F181))),"Sin ticket. ","")&amp;IF(ISNA(MATCH(E181,Datos!$E$8:$E$22,0)),"Proyecto sin valor hora. ","")&amp;IF(ISNA(MATCH(D181,Datos!$A$8:$A$22,0)),"Persona fuera del equipo. ","")))</f>
        <v/>
      </c>
      <c r="I181" s="21" t="n"/>
      <c r="J181" s="22" t="n"/>
      <c r="K181" s="23">
        <f>IF(G181="","",IF(J181&lt;&gt;"",MIN(J181,G181),IF(OR(I181="Observada",I181="Rechazada"),0,G181)))</f>
        <v/>
      </c>
      <c r="L181" s="24" t="n"/>
      <c r="M181" s="25">
        <f>IF(OR(A181="",D181=""),0,IF(COUNTIFS($A$2:A181,A181,$D$2:D181,D181)=1,1,0))</f>
        <v/>
      </c>
    </row>
    <row r="182">
      <c r="A182" s="26" t="n"/>
      <c r="B182" s="27" t="n"/>
      <c r="C182" s="27" t="n"/>
      <c r="D182" s="28" t="n"/>
      <c r="E182" s="28" t="n"/>
      <c r="F182" s="29" t="n"/>
      <c r="G182" s="30" t="n"/>
      <c r="H182" s="20">
        <f>IF(A182="","",TRIM(IF(WEEKDAY(A182,2)&gt;5,"Fin de semana. ","")&amp;IF(SUMIFS($G$2:$G$601,$A$2:$A$601,A182,$D$2:$D$601,D182)&gt;9,"Más de 9 h en el día. ","")&amp;IF(AND(B182&lt;&gt;"",C182&lt;&gt;"",C182&lt;B182),"Cruza la medianoche. ","")&amp;IF(LEN(TRIM(F182))&lt;15,"Sin descripción suficiente. ","")&amp;IF(AND(ISERROR(SEARCH("R-0",F182)),ISERROR(SEARCH("CU-",F182))),"Sin ticket. ","")&amp;IF(ISNA(MATCH(E182,Datos!$E$8:$E$22,0)),"Proyecto sin valor hora. ","")&amp;IF(ISNA(MATCH(D182,Datos!$A$8:$A$22,0)),"Persona fuera del equipo. ","")))</f>
        <v/>
      </c>
      <c r="I182" s="21" t="n"/>
      <c r="J182" s="22" t="n"/>
      <c r="K182" s="23">
        <f>IF(G182="","",IF(J182&lt;&gt;"",MIN(J182,G182),IF(OR(I182="Observada",I182="Rechazada"),0,G182)))</f>
        <v/>
      </c>
      <c r="L182" s="24" t="n"/>
      <c r="M182" s="25">
        <f>IF(OR(A182="",D182=""),0,IF(COUNTIFS($A$2:A182,A182,$D$2:D182,D182)=1,1,0))</f>
        <v/>
      </c>
    </row>
    <row r="183">
      <c r="A183" s="26" t="n"/>
      <c r="B183" s="27" t="n"/>
      <c r="C183" s="27" t="n"/>
      <c r="D183" s="28" t="n"/>
      <c r="E183" s="28" t="n"/>
      <c r="F183" s="29" t="n"/>
      <c r="G183" s="30" t="n"/>
      <c r="H183" s="20">
        <f>IF(A183="","",TRIM(IF(WEEKDAY(A183,2)&gt;5,"Fin de semana. ","")&amp;IF(SUMIFS($G$2:$G$601,$A$2:$A$601,A183,$D$2:$D$601,D183)&gt;9,"Más de 9 h en el día. ","")&amp;IF(AND(B183&lt;&gt;"",C183&lt;&gt;"",C183&lt;B183),"Cruza la medianoche. ","")&amp;IF(LEN(TRIM(F183))&lt;15,"Sin descripción suficiente. ","")&amp;IF(AND(ISERROR(SEARCH("R-0",F183)),ISERROR(SEARCH("CU-",F183))),"Sin ticket. ","")&amp;IF(ISNA(MATCH(E183,Datos!$E$8:$E$22,0)),"Proyecto sin valor hora. ","")&amp;IF(ISNA(MATCH(D183,Datos!$A$8:$A$22,0)),"Persona fuera del equipo. ","")))</f>
        <v/>
      </c>
      <c r="I183" s="21" t="n"/>
      <c r="J183" s="22" t="n"/>
      <c r="K183" s="23">
        <f>IF(G183="","",IF(J183&lt;&gt;"",MIN(J183,G183),IF(OR(I183="Observada",I183="Rechazada"),0,G183)))</f>
        <v/>
      </c>
      <c r="L183" s="24" t="n"/>
      <c r="M183" s="25">
        <f>IF(OR(A183="",D183=""),0,IF(COUNTIFS($A$2:A183,A183,$D$2:D183,D183)=1,1,0))</f>
        <v/>
      </c>
    </row>
    <row r="184">
      <c r="A184" s="26" t="n"/>
      <c r="B184" s="27" t="n"/>
      <c r="C184" s="27" t="n"/>
      <c r="D184" s="28" t="n"/>
      <c r="E184" s="28" t="n"/>
      <c r="F184" s="29" t="n"/>
      <c r="G184" s="30" t="n"/>
      <c r="H184" s="20">
        <f>IF(A184="","",TRIM(IF(WEEKDAY(A184,2)&gt;5,"Fin de semana. ","")&amp;IF(SUMIFS($G$2:$G$601,$A$2:$A$601,A184,$D$2:$D$601,D184)&gt;9,"Más de 9 h en el día. ","")&amp;IF(AND(B184&lt;&gt;"",C184&lt;&gt;"",C184&lt;B184),"Cruza la medianoche. ","")&amp;IF(LEN(TRIM(F184))&lt;15,"Sin descripción suficiente. ","")&amp;IF(AND(ISERROR(SEARCH("R-0",F184)),ISERROR(SEARCH("CU-",F184))),"Sin ticket. ","")&amp;IF(ISNA(MATCH(E184,Datos!$E$8:$E$22,0)),"Proyecto sin valor hora. ","")&amp;IF(ISNA(MATCH(D184,Datos!$A$8:$A$22,0)),"Persona fuera del equipo. ","")))</f>
        <v/>
      </c>
      <c r="I184" s="21" t="n"/>
      <c r="J184" s="22" t="n"/>
      <c r="K184" s="23">
        <f>IF(G184="","",IF(J184&lt;&gt;"",MIN(J184,G184),IF(OR(I184="Observada",I184="Rechazada"),0,G184)))</f>
        <v/>
      </c>
      <c r="L184" s="24" t="n"/>
      <c r="M184" s="25">
        <f>IF(OR(A184="",D184=""),0,IF(COUNTIFS($A$2:A184,A184,$D$2:D184,D184)=1,1,0))</f>
        <v/>
      </c>
    </row>
    <row r="185">
      <c r="A185" s="26" t="n"/>
      <c r="B185" s="27" t="n"/>
      <c r="C185" s="27" t="n"/>
      <c r="D185" s="28" t="n"/>
      <c r="E185" s="28" t="n"/>
      <c r="F185" s="29" t="n"/>
      <c r="G185" s="30" t="n"/>
      <c r="H185" s="20">
        <f>IF(A185="","",TRIM(IF(WEEKDAY(A185,2)&gt;5,"Fin de semana. ","")&amp;IF(SUMIFS($G$2:$G$601,$A$2:$A$601,A185,$D$2:$D$601,D185)&gt;9,"Más de 9 h en el día. ","")&amp;IF(AND(B185&lt;&gt;"",C185&lt;&gt;"",C185&lt;B185),"Cruza la medianoche. ","")&amp;IF(LEN(TRIM(F185))&lt;15,"Sin descripción suficiente. ","")&amp;IF(AND(ISERROR(SEARCH("R-0",F185)),ISERROR(SEARCH("CU-",F185))),"Sin ticket. ","")&amp;IF(ISNA(MATCH(E185,Datos!$E$8:$E$22,0)),"Proyecto sin valor hora. ","")&amp;IF(ISNA(MATCH(D185,Datos!$A$8:$A$22,0)),"Persona fuera del equipo. ","")))</f>
        <v/>
      </c>
      <c r="I185" s="21" t="n"/>
      <c r="J185" s="22" t="n"/>
      <c r="K185" s="23">
        <f>IF(G185="","",IF(J185&lt;&gt;"",MIN(J185,G185),IF(OR(I185="Observada",I185="Rechazada"),0,G185)))</f>
        <v/>
      </c>
      <c r="L185" s="24" t="n"/>
      <c r="M185" s="25">
        <f>IF(OR(A185="",D185=""),0,IF(COUNTIFS($A$2:A185,A185,$D$2:D185,D185)=1,1,0))</f>
        <v/>
      </c>
    </row>
    <row r="186">
      <c r="A186" s="26" t="n"/>
      <c r="B186" s="27" t="n"/>
      <c r="C186" s="27" t="n"/>
      <c r="D186" s="28" t="n"/>
      <c r="E186" s="28" t="n"/>
      <c r="F186" s="29" t="n"/>
      <c r="G186" s="30" t="n"/>
      <c r="H186" s="20">
        <f>IF(A186="","",TRIM(IF(WEEKDAY(A186,2)&gt;5,"Fin de semana. ","")&amp;IF(SUMIFS($G$2:$G$601,$A$2:$A$601,A186,$D$2:$D$601,D186)&gt;9,"Más de 9 h en el día. ","")&amp;IF(AND(B186&lt;&gt;"",C186&lt;&gt;"",C186&lt;B186),"Cruza la medianoche. ","")&amp;IF(LEN(TRIM(F186))&lt;15,"Sin descripción suficiente. ","")&amp;IF(AND(ISERROR(SEARCH("R-0",F186)),ISERROR(SEARCH("CU-",F186))),"Sin ticket. ","")&amp;IF(ISNA(MATCH(E186,Datos!$E$8:$E$22,0)),"Proyecto sin valor hora. ","")&amp;IF(ISNA(MATCH(D186,Datos!$A$8:$A$22,0)),"Persona fuera del equipo. ","")))</f>
        <v/>
      </c>
      <c r="I186" s="21" t="n"/>
      <c r="J186" s="22" t="n"/>
      <c r="K186" s="23">
        <f>IF(G186="","",IF(J186&lt;&gt;"",MIN(J186,G186),IF(OR(I186="Observada",I186="Rechazada"),0,G186)))</f>
        <v/>
      </c>
      <c r="L186" s="24" t="n"/>
      <c r="M186" s="25">
        <f>IF(OR(A186="",D186=""),0,IF(COUNTIFS($A$2:A186,A186,$D$2:D186,D186)=1,1,0))</f>
        <v/>
      </c>
    </row>
    <row r="187">
      <c r="A187" s="26" t="n"/>
      <c r="B187" s="27" t="n"/>
      <c r="C187" s="27" t="n"/>
      <c r="D187" s="28" t="n"/>
      <c r="E187" s="28" t="n"/>
      <c r="F187" s="29" t="n"/>
      <c r="G187" s="30" t="n"/>
      <c r="H187" s="20">
        <f>IF(A187="","",TRIM(IF(WEEKDAY(A187,2)&gt;5,"Fin de semana. ","")&amp;IF(SUMIFS($G$2:$G$601,$A$2:$A$601,A187,$D$2:$D$601,D187)&gt;9,"Más de 9 h en el día. ","")&amp;IF(AND(B187&lt;&gt;"",C187&lt;&gt;"",C187&lt;B187),"Cruza la medianoche. ","")&amp;IF(LEN(TRIM(F187))&lt;15,"Sin descripción suficiente. ","")&amp;IF(AND(ISERROR(SEARCH("R-0",F187)),ISERROR(SEARCH("CU-",F187))),"Sin ticket. ","")&amp;IF(ISNA(MATCH(E187,Datos!$E$8:$E$22,0)),"Proyecto sin valor hora. ","")&amp;IF(ISNA(MATCH(D187,Datos!$A$8:$A$22,0)),"Persona fuera del equipo. ","")))</f>
        <v/>
      </c>
      <c r="I187" s="21" t="n"/>
      <c r="J187" s="22" t="n"/>
      <c r="K187" s="23">
        <f>IF(G187="","",IF(J187&lt;&gt;"",MIN(J187,G187),IF(OR(I187="Observada",I187="Rechazada"),0,G187)))</f>
        <v/>
      </c>
      <c r="L187" s="24" t="n"/>
      <c r="M187" s="25">
        <f>IF(OR(A187="",D187=""),0,IF(COUNTIFS($A$2:A187,A187,$D$2:D187,D187)=1,1,0))</f>
        <v/>
      </c>
    </row>
    <row r="188">
      <c r="A188" s="26" t="n"/>
      <c r="B188" s="27" t="n"/>
      <c r="C188" s="27" t="n"/>
      <c r="D188" s="28" t="n"/>
      <c r="E188" s="28" t="n"/>
      <c r="F188" s="29" t="n"/>
      <c r="G188" s="30" t="n"/>
      <c r="H188" s="20">
        <f>IF(A188="","",TRIM(IF(WEEKDAY(A188,2)&gt;5,"Fin de semana. ","")&amp;IF(SUMIFS($G$2:$G$601,$A$2:$A$601,A188,$D$2:$D$601,D188)&gt;9,"Más de 9 h en el día. ","")&amp;IF(AND(B188&lt;&gt;"",C188&lt;&gt;"",C188&lt;B188),"Cruza la medianoche. ","")&amp;IF(LEN(TRIM(F188))&lt;15,"Sin descripción suficiente. ","")&amp;IF(AND(ISERROR(SEARCH("R-0",F188)),ISERROR(SEARCH("CU-",F188))),"Sin ticket. ","")&amp;IF(ISNA(MATCH(E188,Datos!$E$8:$E$22,0)),"Proyecto sin valor hora. ","")&amp;IF(ISNA(MATCH(D188,Datos!$A$8:$A$22,0)),"Persona fuera del equipo. ","")))</f>
        <v/>
      </c>
      <c r="I188" s="21" t="n"/>
      <c r="J188" s="22" t="n"/>
      <c r="K188" s="23">
        <f>IF(G188="","",IF(J188&lt;&gt;"",MIN(J188,G188),IF(OR(I188="Observada",I188="Rechazada"),0,G188)))</f>
        <v/>
      </c>
      <c r="L188" s="24" t="n"/>
      <c r="M188" s="25">
        <f>IF(OR(A188="",D188=""),0,IF(COUNTIFS($A$2:A188,A188,$D$2:D188,D188)=1,1,0))</f>
        <v/>
      </c>
    </row>
    <row r="189">
      <c r="A189" s="26" t="n"/>
      <c r="B189" s="27" t="n"/>
      <c r="C189" s="27" t="n"/>
      <c r="D189" s="28" t="n"/>
      <c r="E189" s="28" t="n"/>
      <c r="F189" s="29" t="n"/>
      <c r="G189" s="30" t="n"/>
      <c r="H189" s="20">
        <f>IF(A189="","",TRIM(IF(WEEKDAY(A189,2)&gt;5,"Fin de semana. ","")&amp;IF(SUMIFS($G$2:$G$601,$A$2:$A$601,A189,$D$2:$D$601,D189)&gt;9,"Más de 9 h en el día. ","")&amp;IF(AND(B189&lt;&gt;"",C189&lt;&gt;"",C189&lt;B189),"Cruza la medianoche. ","")&amp;IF(LEN(TRIM(F189))&lt;15,"Sin descripción suficiente. ","")&amp;IF(AND(ISERROR(SEARCH("R-0",F189)),ISERROR(SEARCH("CU-",F189))),"Sin ticket. ","")&amp;IF(ISNA(MATCH(E189,Datos!$E$8:$E$22,0)),"Proyecto sin valor hora. ","")&amp;IF(ISNA(MATCH(D189,Datos!$A$8:$A$22,0)),"Persona fuera del equipo. ","")))</f>
        <v/>
      </c>
      <c r="I189" s="21" t="n"/>
      <c r="J189" s="22" t="n"/>
      <c r="K189" s="23">
        <f>IF(G189="","",IF(J189&lt;&gt;"",MIN(J189,G189),IF(OR(I189="Observada",I189="Rechazada"),0,G189)))</f>
        <v/>
      </c>
      <c r="L189" s="24" t="n"/>
      <c r="M189" s="25">
        <f>IF(OR(A189="",D189=""),0,IF(COUNTIFS($A$2:A189,A189,$D$2:D189,D189)=1,1,0))</f>
        <v/>
      </c>
    </row>
    <row r="190">
      <c r="A190" s="26" t="n"/>
      <c r="B190" s="27" t="n"/>
      <c r="C190" s="27" t="n"/>
      <c r="D190" s="28" t="n"/>
      <c r="E190" s="28" t="n"/>
      <c r="F190" s="29" t="n"/>
      <c r="G190" s="30" t="n"/>
      <c r="H190" s="20">
        <f>IF(A190="","",TRIM(IF(WEEKDAY(A190,2)&gt;5,"Fin de semana. ","")&amp;IF(SUMIFS($G$2:$G$601,$A$2:$A$601,A190,$D$2:$D$601,D190)&gt;9,"Más de 9 h en el día. ","")&amp;IF(AND(B190&lt;&gt;"",C190&lt;&gt;"",C190&lt;B190),"Cruza la medianoche. ","")&amp;IF(LEN(TRIM(F190))&lt;15,"Sin descripción suficiente. ","")&amp;IF(AND(ISERROR(SEARCH("R-0",F190)),ISERROR(SEARCH("CU-",F190))),"Sin ticket. ","")&amp;IF(ISNA(MATCH(E190,Datos!$E$8:$E$22,0)),"Proyecto sin valor hora. ","")&amp;IF(ISNA(MATCH(D190,Datos!$A$8:$A$22,0)),"Persona fuera del equipo. ","")))</f>
        <v/>
      </c>
      <c r="I190" s="21" t="n"/>
      <c r="J190" s="22" t="n"/>
      <c r="K190" s="23">
        <f>IF(G190="","",IF(J190&lt;&gt;"",MIN(J190,G190),IF(OR(I190="Observada",I190="Rechazada"),0,G190)))</f>
        <v/>
      </c>
      <c r="L190" s="24" t="n"/>
      <c r="M190" s="25">
        <f>IF(OR(A190="",D190=""),0,IF(COUNTIFS($A$2:A190,A190,$D$2:D190,D190)=1,1,0))</f>
        <v/>
      </c>
    </row>
    <row r="191">
      <c r="A191" s="26" t="n"/>
      <c r="B191" s="27" t="n"/>
      <c r="C191" s="27" t="n"/>
      <c r="D191" s="28" t="n"/>
      <c r="E191" s="28" t="n"/>
      <c r="F191" s="29" t="n"/>
      <c r="G191" s="30" t="n"/>
      <c r="H191" s="20">
        <f>IF(A191="","",TRIM(IF(WEEKDAY(A191,2)&gt;5,"Fin de semana. ","")&amp;IF(SUMIFS($G$2:$G$601,$A$2:$A$601,A191,$D$2:$D$601,D191)&gt;9,"Más de 9 h en el día. ","")&amp;IF(AND(B191&lt;&gt;"",C191&lt;&gt;"",C191&lt;B191),"Cruza la medianoche. ","")&amp;IF(LEN(TRIM(F191))&lt;15,"Sin descripción suficiente. ","")&amp;IF(AND(ISERROR(SEARCH("R-0",F191)),ISERROR(SEARCH("CU-",F191))),"Sin ticket. ","")&amp;IF(ISNA(MATCH(E191,Datos!$E$8:$E$22,0)),"Proyecto sin valor hora. ","")&amp;IF(ISNA(MATCH(D191,Datos!$A$8:$A$22,0)),"Persona fuera del equipo. ","")))</f>
        <v/>
      </c>
      <c r="I191" s="21" t="n"/>
      <c r="J191" s="22" t="n"/>
      <c r="K191" s="23">
        <f>IF(G191="","",IF(J191&lt;&gt;"",MIN(J191,G191),IF(OR(I191="Observada",I191="Rechazada"),0,G191)))</f>
        <v/>
      </c>
      <c r="L191" s="24" t="n"/>
      <c r="M191" s="25">
        <f>IF(OR(A191="",D191=""),0,IF(COUNTIFS($A$2:A191,A191,$D$2:D191,D191)=1,1,0))</f>
        <v/>
      </c>
    </row>
    <row r="192">
      <c r="A192" s="26" t="n"/>
      <c r="B192" s="27" t="n"/>
      <c r="C192" s="27" t="n"/>
      <c r="D192" s="28" t="n"/>
      <c r="E192" s="28" t="n"/>
      <c r="F192" s="29" t="n"/>
      <c r="G192" s="30" t="n"/>
      <c r="H192" s="20">
        <f>IF(A192="","",TRIM(IF(WEEKDAY(A192,2)&gt;5,"Fin de semana. ","")&amp;IF(SUMIFS($G$2:$G$601,$A$2:$A$601,A192,$D$2:$D$601,D192)&gt;9,"Más de 9 h en el día. ","")&amp;IF(AND(B192&lt;&gt;"",C192&lt;&gt;"",C192&lt;B192),"Cruza la medianoche. ","")&amp;IF(LEN(TRIM(F192))&lt;15,"Sin descripción suficiente. ","")&amp;IF(AND(ISERROR(SEARCH("R-0",F192)),ISERROR(SEARCH("CU-",F192))),"Sin ticket. ","")&amp;IF(ISNA(MATCH(E192,Datos!$E$8:$E$22,0)),"Proyecto sin valor hora. ","")&amp;IF(ISNA(MATCH(D192,Datos!$A$8:$A$22,0)),"Persona fuera del equipo. ","")))</f>
        <v/>
      </c>
      <c r="I192" s="21" t="n"/>
      <c r="J192" s="22" t="n"/>
      <c r="K192" s="23">
        <f>IF(G192="","",IF(J192&lt;&gt;"",MIN(J192,G192),IF(OR(I192="Observada",I192="Rechazada"),0,G192)))</f>
        <v/>
      </c>
      <c r="L192" s="24" t="n"/>
      <c r="M192" s="25">
        <f>IF(OR(A192="",D192=""),0,IF(COUNTIFS($A$2:A192,A192,$D$2:D192,D192)=1,1,0))</f>
        <v/>
      </c>
    </row>
    <row r="193">
      <c r="A193" s="26" t="n"/>
      <c r="B193" s="27" t="n"/>
      <c r="C193" s="27" t="n"/>
      <c r="D193" s="28" t="n"/>
      <c r="E193" s="28" t="n"/>
      <c r="F193" s="29" t="n"/>
      <c r="G193" s="30" t="n"/>
      <c r="H193" s="20">
        <f>IF(A193="","",TRIM(IF(WEEKDAY(A193,2)&gt;5,"Fin de semana. ","")&amp;IF(SUMIFS($G$2:$G$601,$A$2:$A$601,A193,$D$2:$D$601,D193)&gt;9,"Más de 9 h en el día. ","")&amp;IF(AND(B193&lt;&gt;"",C193&lt;&gt;"",C193&lt;B193),"Cruza la medianoche. ","")&amp;IF(LEN(TRIM(F193))&lt;15,"Sin descripción suficiente. ","")&amp;IF(AND(ISERROR(SEARCH("R-0",F193)),ISERROR(SEARCH("CU-",F193))),"Sin ticket. ","")&amp;IF(ISNA(MATCH(E193,Datos!$E$8:$E$22,0)),"Proyecto sin valor hora. ","")&amp;IF(ISNA(MATCH(D193,Datos!$A$8:$A$22,0)),"Persona fuera del equipo. ","")))</f>
        <v/>
      </c>
      <c r="I193" s="21" t="n"/>
      <c r="J193" s="22" t="n"/>
      <c r="K193" s="23">
        <f>IF(G193="","",IF(J193&lt;&gt;"",MIN(J193,G193),IF(OR(I193="Observada",I193="Rechazada"),0,G193)))</f>
        <v/>
      </c>
      <c r="L193" s="24" t="n"/>
      <c r="M193" s="25">
        <f>IF(OR(A193="",D193=""),0,IF(COUNTIFS($A$2:A193,A193,$D$2:D193,D193)=1,1,0))</f>
        <v/>
      </c>
    </row>
    <row r="194">
      <c r="A194" s="26" t="n"/>
      <c r="B194" s="27" t="n"/>
      <c r="C194" s="27" t="n"/>
      <c r="D194" s="28" t="n"/>
      <c r="E194" s="28" t="n"/>
      <c r="F194" s="29" t="n"/>
      <c r="G194" s="30" t="n"/>
      <c r="H194" s="20">
        <f>IF(A194="","",TRIM(IF(WEEKDAY(A194,2)&gt;5,"Fin de semana. ","")&amp;IF(SUMIFS($G$2:$G$601,$A$2:$A$601,A194,$D$2:$D$601,D194)&gt;9,"Más de 9 h en el día. ","")&amp;IF(AND(B194&lt;&gt;"",C194&lt;&gt;"",C194&lt;B194),"Cruza la medianoche. ","")&amp;IF(LEN(TRIM(F194))&lt;15,"Sin descripción suficiente. ","")&amp;IF(AND(ISERROR(SEARCH("R-0",F194)),ISERROR(SEARCH("CU-",F194))),"Sin ticket. ","")&amp;IF(ISNA(MATCH(E194,Datos!$E$8:$E$22,0)),"Proyecto sin valor hora. ","")&amp;IF(ISNA(MATCH(D194,Datos!$A$8:$A$22,0)),"Persona fuera del equipo. ","")))</f>
        <v/>
      </c>
      <c r="I194" s="21" t="n"/>
      <c r="J194" s="22" t="n"/>
      <c r="K194" s="23">
        <f>IF(G194="","",IF(J194&lt;&gt;"",MIN(J194,G194),IF(OR(I194="Observada",I194="Rechazada"),0,G194)))</f>
        <v/>
      </c>
      <c r="L194" s="24" t="n"/>
      <c r="M194" s="25">
        <f>IF(OR(A194="",D194=""),0,IF(COUNTIFS($A$2:A194,A194,$D$2:D194,D194)=1,1,0))</f>
        <v/>
      </c>
    </row>
    <row r="195">
      <c r="A195" s="26" t="n"/>
      <c r="B195" s="27" t="n"/>
      <c r="C195" s="27" t="n"/>
      <c r="D195" s="28" t="n"/>
      <c r="E195" s="28" t="n"/>
      <c r="F195" s="29" t="n"/>
      <c r="G195" s="30" t="n"/>
      <c r="H195" s="20">
        <f>IF(A195="","",TRIM(IF(WEEKDAY(A195,2)&gt;5,"Fin de semana. ","")&amp;IF(SUMIFS($G$2:$G$601,$A$2:$A$601,A195,$D$2:$D$601,D195)&gt;9,"Más de 9 h en el día. ","")&amp;IF(AND(B195&lt;&gt;"",C195&lt;&gt;"",C195&lt;B195),"Cruza la medianoche. ","")&amp;IF(LEN(TRIM(F195))&lt;15,"Sin descripción suficiente. ","")&amp;IF(AND(ISERROR(SEARCH("R-0",F195)),ISERROR(SEARCH("CU-",F195))),"Sin ticket. ","")&amp;IF(ISNA(MATCH(E195,Datos!$E$8:$E$22,0)),"Proyecto sin valor hora. ","")&amp;IF(ISNA(MATCH(D195,Datos!$A$8:$A$22,0)),"Persona fuera del equipo. ","")))</f>
        <v/>
      </c>
      <c r="I195" s="21" t="n"/>
      <c r="J195" s="22" t="n"/>
      <c r="K195" s="23">
        <f>IF(G195="","",IF(J195&lt;&gt;"",MIN(J195,G195),IF(OR(I195="Observada",I195="Rechazada"),0,G195)))</f>
        <v/>
      </c>
      <c r="L195" s="24" t="n"/>
      <c r="M195" s="25">
        <f>IF(OR(A195="",D195=""),0,IF(COUNTIFS($A$2:A195,A195,$D$2:D195,D195)=1,1,0))</f>
        <v/>
      </c>
    </row>
    <row r="196">
      <c r="A196" s="26" t="n"/>
      <c r="B196" s="27" t="n"/>
      <c r="C196" s="27" t="n"/>
      <c r="D196" s="28" t="n"/>
      <c r="E196" s="28" t="n"/>
      <c r="F196" s="29" t="n"/>
      <c r="G196" s="30" t="n"/>
      <c r="H196" s="20">
        <f>IF(A196="","",TRIM(IF(WEEKDAY(A196,2)&gt;5,"Fin de semana. ","")&amp;IF(SUMIFS($G$2:$G$601,$A$2:$A$601,A196,$D$2:$D$601,D196)&gt;9,"Más de 9 h en el día. ","")&amp;IF(AND(B196&lt;&gt;"",C196&lt;&gt;"",C196&lt;B196),"Cruza la medianoche. ","")&amp;IF(LEN(TRIM(F196))&lt;15,"Sin descripción suficiente. ","")&amp;IF(AND(ISERROR(SEARCH("R-0",F196)),ISERROR(SEARCH("CU-",F196))),"Sin ticket. ","")&amp;IF(ISNA(MATCH(E196,Datos!$E$8:$E$22,0)),"Proyecto sin valor hora. ","")&amp;IF(ISNA(MATCH(D196,Datos!$A$8:$A$22,0)),"Persona fuera del equipo. ","")))</f>
        <v/>
      </c>
      <c r="I196" s="21" t="n"/>
      <c r="J196" s="22" t="n"/>
      <c r="K196" s="23">
        <f>IF(G196="","",IF(J196&lt;&gt;"",MIN(J196,G196),IF(OR(I196="Observada",I196="Rechazada"),0,G196)))</f>
        <v/>
      </c>
      <c r="L196" s="24" t="n"/>
      <c r="M196" s="25">
        <f>IF(OR(A196="",D196=""),0,IF(COUNTIFS($A$2:A196,A196,$D$2:D196,D196)=1,1,0))</f>
        <v/>
      </c>
    </row>
    <row r="197">
      <c r="A197" s="26" t="n"/>
      <c r="B197" s="27" t="n"/>
      <c r="C197" s="27" t="n"/>
      <c r="D197" s="28" t="n"/>
      <c r="E197" s="28" t="n"/>
      <c r="F197" s="29" t="n"/>
      <c r="G197" s="30" t="n"/>
      <c r="H197" s="20">
        <f>IF(A197="","",TRIM(IF(WEEKDAY(A197,2)&gt;5,"Fin de semana. ","")&amp;IF(SUMIFS($G$2:$G$601,$A$2:$A$601,A197,$D$2:$D$601,D197)&gt;9,"Más de 9 h en el día. ","")&amp;IF(AND(B197&lt;&gt;"",C197&lt;&gt;"",C197&lt;B197),"Cruza la medianoche. ","")&amp;IF(LEN(TRIM(F197))&lt;15,"Sin descripción suficiente. ","")&amp;IF(AND(ISERROR(SEARCH("R-0",F197)),ISERROR(SEARCH("CU-",F197))),"Sin ticket. ","")&amp;IF(ISNA(MATCH(E197,Datos!$E$8:$E$22,0)),"Proyecto sin valor hora. ","")&amp;IF(ISNA(MATCH(D197,Datos!$A$8:$A$22,0)),"Persona fuera del equipo. ","")))</f>
        <v/>
      </c>
      <c r="I197" s="21" t="n"/>
      <c r="J197" s="22" t="n"/>
      <c r="K197" s="23">
        <f>IF(G197="","",IF(J197&lt;&gt;"",MIN(J197,G197),IF(OR(I197="Observada",I197="Rechazada"),0,G197)))</f>
        <v/>
      </c>
      <c r="L197" s="24" t="n"/>
      <c r="M197" s="25">
        <f>IF(OR(A197="",D197=""),0,IF(COUNTIFS($A$2:A197,A197,$D$2:D197,D197)=1,1,0))</f>
        <v/>
      </c>
    </row>
    <row r="198">
      <c r="A198" s="26" t="n"/>
      <c r="B198" s="27" t="n"/>
      <c r="C198" s="27" t="n"/>
      <c r="D198" s="28" t="n"/>
      <c r="E198" s="28" t="n"/>
      <c r="F198" s="29" t="n"/>
      <c r="G198" s="30" t="n"/>
      <c r="H198" s="20">
        <f>IF(A198="","",TRIM(IF(WEEKDAY(A198,2)&gt;5,"Fin de semana. ","")&amp;IF(SUMIFS($G$2:$G$601,$A$2:$A$601,A198,$D$2:$D$601,D198)&gt;9,"Más de 9 h en el día. ","")&amp;IF(AND(B198&lt;&gt;"",C198&lt;&gt;"",C198&lt;B198),"Cruza la medianoche. ","")&amp;IF(LEN(TRIM(F198))&lt;15,"Sin descripción suficiente. ","")&amp;IF(AND(ISERROR(SEARCH("R-0",F198)),ISERROR(SEARCH("CU-",F198))),"Sin ticket. ","")&amp;IF(ISNA(MATCH(E198,Datos!$E$8:$E$22,0)),"Proyecto sin valor hora. ","")&amp;IF(ISNA(MATCH(D198,Datos!$A$8:$A$22,0)),"Persona fuera del equipo. ","")))</f>
        <v/>
      </c>
      <c r="I198" s="21" t="n"/>
      <c r="J198" s="22" t="n"/>
      <c r="K198" s="23">
        <f>IF(G198="","",IF(J198&lt;&gt;"",MIN(J198,G198),IF(OR(I198="Observada",I198="Rechazada"),0,G198)))</f>
        <v/>
      </c>
      <c r="L198" s="24" t="n"/>
      <c r="M198" s="25">
        <f>IF(OR(A198="",D198=""),0,IF(COUNTIFS($A$2:A198,A198,$D$2:D198,D198)=1,1,0))</f>
        <v/>
      </c>
    </row>
    <row r="199">
      <c r="A199" s="26" t="n"/>
      <c r="B199" s="27" t="n"/>
      <c r="C199" s="27" t="n"/>
      <c r="D199" s="28" t="n"/>
      <c r="E199" s="28" t="n"/>
      <c r="F199" s="29" t="n"/>
      <c r="G199" s="30" t="n"/>
      <c r="H199" s="20">
        <f>IF(A199="","",TRIM(IF(WEEKDAY(A199,2)&gt;5,"Fin de semana. ","")&amp;IF(SUMIFS($G$2:$G$601,$A$2:$A$601,A199,$D$2:$D$601,D199)&gt;9,"Más de 9 h en el día. ","")&amp;IF(AND(B199&lt;&gt;"",C199&lt;&gt;"",C199&lt;B199),"Cruza la medianoche. ","")&amp;IF(LEN(TRIM(F199))&lt;15,"Sin descripción suficiente. ","")&amp;IF(AND(ISERROR(SEARCH("R-0",F199)),ISERROR(SEARCH("CU-",F199))),"Sin ticket. ","")&amp;IF(ISNA(MATCH(E199,Datos!$E$8:$E$22,0)),"Proyecto sin valor hora. ","")&amp;IF(ISNA(MATCH(D199,Datos!$A$8:$A$22,0)),"Persona fuera del equipo. ","")))</f>
        <v/>
      </c>
      <c r="I199" s="21" t="n"/>
      <c r="J199" s="22" t="n"/>
      <c r="K199" s="23">
        <f>IF(G199="","",IF(J199&lt;&gt;"",MIN(J199,G199),IF(OR(I199="Observada",I199="Rechazada"),0,G199)))</f>
        <v/>
      </c>
      <c r="L199" s="24" t="n"/>
      <c r="M199" s="25">
        <f>IF(OR(A199="",D199=""),0,IF(COUNTIFS($A$2:A199,A199,$D$2:D199,D199)=1,1,0))</f>
        <v/>
      </c>
    </row>
    <row r="200">
      <c r="A200" s="26" t="n"/>
      <c r="B200" s="27" t="n"/>
      <c r="C200" s="27" t="n"/>
      <c r="D200" s="28" t="n"/>
      <c r="E200" s="28" t="n"/>
      <c r="F200" s="29" t="n"/>
      <c r="G200" s="30" t="n"/>
      <c r="H200" s="20">
        <f>IF(A200="","",TRIM(IF(WEEKDAY(A200,2)&gt;5,"Fin de semana. ","")&amp;IF(SUMIFS($G$2:$G$601,$A$2:$A$601,A200,$D$2:$D$601,D200)&gt;9,"Más de 9 h en el día. ","")&amp;IF(AND(B200&lt;&gt;"",C200&lt;&gt;"",C200&lt;B200),"Cruza la medianoche. ","")&amp;IF(LEN(TRIM(F200))&lt;15,"Sin descripción suficiente. ","")&amp;IF(AND(ISERROR(SEARCH("R-0",F200)),ISERROR(SEARCH("CU-",F200))),"Sin ticket. ","")&amp;IF(ISNA(MATCH(E200,Datos!$E$8:$E$22,0)),"Proyecto sin valor hora. ","")&amp;IF(ISNA(MATCH(D200,Datos!$A$8:$A$22,0)),"Persona fuera del equipo. ","")))</f>
        <v/>
      </c>
      <c r="I200" s="21" t="n"/>
      <c r="J200" s="22" t="n"/>
      <c r="K200" s="23">
        <f>IF(G200="","",IF(J200&lt;&gt;"",MIN(J200,G200),IF(OR(I200="Observada",I200="Rechazada"),0,G200)))</f>
        <v/>
      </c>
      <c r="L200" s="24" t="n"/>
      <c r="M200" s="25">
        <f>IF(OR(A200="",D200=""),0,IF(COUNTIFS($A$2:A200,A200,$D$2:D200,D200)=1,1,0))</f>
        <v/>
      </c>
    </row>
    <row r="201">
      <c r="A201" s="26" t="n"/>
      <c r="B201" s="27" t="n"/>
      <c r="C201" s="27" t="n"/>
      <c r="D201" s="28" t="n"/>
      <c r="E201" s="28" t="n"/>
      <c r="F201" s="29" t="n"/>
      <c r="G201" s="30" t="n"/>
      <c r="H201" s="20">
        <f>IF(A201="","",TRIM(IF(WEEKDAY(A201,2)&gt;5,"Fin de semana. ","")&amp;IF(SUMIFS($G$2:$G$601,$A$2:$A$601,A201,$D$2:$D$601,D201)&gt;9,"Más de 9 h en el día. ","")&amp;IF(AND(B201&lt;&gt;"",C201&lt;&gt;"",C201&lt;B201),"Cruza la medianoche. ","")&amp;IF(LEN(TRIM(F201))&lt;15,"Sin descripción suficiente. ","")&amp;IF(AND(ISERROR(SEARCH("R-0",F201)),ISERROR(SEARCH("CU-",F201))),"Sin ticket. ","")&amp;IF(ISNA(MATCH(E201,Datos!$E$8:$E$22,0)),"Proyecto sin valor hora. ","")&amp;IF(ISNA(MATCH(D201,Datos!$A$8:$A$22,0)),"Persona fuera del equipo. ","")))</f>
        <v/>
      </c>
      <c r="I201" s="21" t="n"/>
      <c r="J201" s="22" t="n"/>
      <c r="K201" s="23">
        <f>IF(G201="","",IF(J201&lt;&gt;"",MIN(J201,G201),IF(OR(I201="Observada",I201="Rechazada"),0,G201)))</f>
        <v/>
      </c>
      <c r="L201" s="24" t="n"/>
      <c r="M201" s="25">
        <f>IF(OR(A201="",D201=""),0,IF(COUNTIFS($A$2:A201,A201,$D$2:D201,D201)=1,1,0))</f>
        <v/>
      </c>
    </row>
    <row r="202">
      <c r="A202" s="26" t="n"/>
      <c r="B202" s="27" t="n"/>
      <c r="C202" s="27" t="n"/>
      <c r="D202" s="28" t="n"/>
      <c r="E202" s="28" t="n"/>
      <c r="F202" s="29" t="n"/>
      <c r="G202" s="30" t="n"/>
      <c r="H202" s="20">
        <f>IF(A202="","",TRIM(IF(WEEKDAY(A202,2)&gt;5,"Fin de semana. ","")&amp;IF(SUMIFS($G$2:$G$601,$A$2:$A$601,A202,$D$2:$D$601,D202)&gt;9,"Más de 9 h en el día. ","")&amp;IF(AND(B202&lt;&gt;"",C202&lt;&gt;"",C202&lt;B202),"Cruza la medianoche. ","")&amp;IF(LEN(TRIM(F202))&lt;15,"Sin descripción suficiente. ","")&amp;IF(AND(ISERROR(SEARCH("R-0",F202)),ISERROR(SEARCH("CU-",F202))),"Sin ticket. ","")&amp;IF(ISNA(MATCH(E202,Datos!$E$8:$E$22,0)),"Proyecto sin valor hora. ","")&amp;IF(ISNA(MATCH(D202,Datos!$A$8:$A$22,0)),"Persona fuera del equipo. ","")))</f>
        <v/>
      </c>
      <c r="I202" s="21" t="n"/>
      <c r="J202" s="22" t="n"/>
      <c r="K202" s="23">
        <f>IF(G202="","",IF(J202&lt;&gt;"",MIN(J202,G202),IF(OR(I202="Observada",I202="Rechazada"),0,G202)))</f>
        <v/>
      </c>
      <c r="L202" s="24" t="n"/>
      <c r="M202" s="25">
        <f>IF(OR(A202="",D202=""),0,IF(COUNTIFS($A$2:A202,A202,$D$2:D202,D202)=1,1,0))</f>
        <v/>
      </c>
    </row>
    <row r="203">
      <c r="A203" s="26" t="n"/>
      <c r="B203" s="27" t="n"/>
      <c r="C203" s="27" t="n"/>
      <c r="D203" s="28" t="n"/>
      <c r="E203" s="28" t="n"/>
      <c r="F203" s="29" t="n"/>
      <c r="G203" s="30" t="n"/>
      <c r="H203" s="20">
        <f>IF(A203="","",TRIM(IF(WEEKDAY(A203,2)&gt;5,"Fin de semana. ","")&amp;IF(SUMIFS($G$2:$G$601,$A$2:$A$601,A203,$D$2:$D$601,D203)&gt;9,"Más de 9 h en el día. ","")&amp;IF(AND(B203&lt;&gt;"",C203&lt;&gt;"",C203&lt;B203),"Cruza la medianoche. ","")&amp;IF(LEN(TRIM(F203))&lt;15,"Sin descripción suficiente. ","")&amp;IF(AND(ISERROR(SEARCH("R-0",F203)),ISERROR(SEARCH("CU-",F203))),"Sin ticket. ","")&amp;IF(ISNA(MATCH(E203,Datos!$E$8:$E$22,0)),"Proyecto sin valor hora. ","")&amp;IF(ISNA(MATCH(D203,Datos!$A$8:$A$22,0)),"Persona fuera del equipo. ","")))</f>
        <v/>
      </c>
      <c r="I203" s="21" t="n"/>
      <c r="J203" s="22" t="n"/>
      <c r="K203" s="23">
        <f>IF(G203="","",IF(J203&lt;&gt;"",MIN(J203,G203),IF(OR(I203="Observada",I203="Rechazada"),0,G203)))</f>
        <v/>
      </c>
      <c r="L203" s="24" t="n"/>
      <c r="M203" s="25">
        <f>IF(OR(A203="",D203=""),0,IF(COUNTIFS($A$2:A203,A203,$D$2:D203,D203)=1,1,0))</f>
        <v/>
      </c>
    </row>
    <row r="204">
      <c r="A204" s="26" t="n"/>
      <c r="B204" s="27" t="n"/>
      <c r="C204" s="27" t="n"/>
      <c r="D204" s="28" t="n"/>
      <c r="E204" s="28" t="n"/>
      <c r="F204" s="29" t="n"/>
      <c r="G204" s="30" t="n"/>
      <c r="H204" s="20">
        <f>IF(A204="","",TRIM(IF(WEEKDAY(A204,2)&gt;5,"Fin de semana. ","")&amp;IF(SUMIFS($G$2:$G$601,$A$2:$A$601,A204,$D$2:$D$601,D204)&gt;9,"Más de 9 h en el día. ","")&amp;IF(AND(B204&lt;&gt;"",C204&lt;&gt;"",C204&lt;B204),"Cruza la medianoche. ","")&amp;IF(LEN(TRIM(F204))&lt;15,"Sin descripción suficiente. ","")&amp;IF(AND(ISERROR(SEARCH("R-0",F204)),ISERROR(SEARCH("CU-",F204))),"Sin ticket. ","")&amp;IF(ISNA(MATCH(E204,Datos!$E$8:$E$22,0)),"Proyecto sin valor hora. ","")&amp;IF(ISNA(MATCH(D204,Datos!$A$8:$A$22,0)),"Persona fuera del equipo. ","")))</f>
        <v/>
      </c>
      <c r="I204" s="21" t="n"/>
      <c r="J204" s="22" t="n"/>
      <c r="K204" s="23">
        <f>IF(G204="","",IF(J204&lt;&gt;"",MIN(J204,G204),IF(OR(I204="Observada",I204="Rechazada"),0,G204)))</f>
        <v/>
      </c>
      <c r="L204" s="24" t="n"/>
      <c r="M204" s="25">
        <f>IF(OR(A204="",D204=""),0,IF(COUNTIFS($A$2:A204,A204,$D$2:D204,D204)=1,1,0))</f>
        <v/>
      </c>
    </row>
    <row r="205">
      <c r="A205" s="26" t="n"/>
      <c r="B205" s="27" t="n"/>
      <c r="C205" s="27" t="n"/>
      <c r="D205" s="28" t="n"/>
      <c r="E205" s="28" t="n"/>
      <c r="F205" s="29" t="n"/>
      <c r="G205" s="30" t="n"/>
      <c r="H205" s="20">
        <f>IF(A205="","",TRIM(IF(WEEKDAY(A205,2)&gt;5,"Fin de semana. ","")&amp;IF(SUMIFS($G$2:$G$601,$A$2:$A$601,A205,$D$2:$D$601,D205)&gt;9,"Más de 9 h en el día. ","")&amp;IF(AND(B205&lt;&gt;"",C205&lt;&gt;"",C205&lt;B205),"Cruza la medianoche. ","")&amp;IF(LEN(TRIM(F205))&lt;15,"Sin descripción suficiente. ","")&amp;IF(AND(ISERROR(SEARCH("R-0",F205)),ISERROR(SEARCH("CU-",F205))),"Sin ticket. ","")&amp;IF(ISNA(MATCH(E205,Datos!$E$8:$E$22,0)),"Proyecto sin valor hora. ","")&amp;IF(ISNA(MATCH(D205,Datos!$A$8:$A$22,0)),"Persona fuera del equipo. ","")))</f>
        <v/>
      </c>
      <c r="I205" s="21" t="n"/>
      <c r="J205" s="22" t="n"/>
      <c r="K205" s="23">
        <f>IF(G205="","",IF(J205&lt;&gt;"",MIN(J205,G205),IF(OR(I205="Observada",I205="Rechazada"),0,G205)))</f>
        <v/>
      </c>
      <c r="L205" s="24" t="n"/>
      <c r="M205" s="25">
        <f>IF(OR(A205="",D205=""),0,IF(COUNTIFS($A$2:A205,A205,$D$2:D205,D205)=1,1,0))</f>
        <v/>
      </c>
    </row>
    <row r="206">
      <c r="A206" s="26" t="n"/>
      <c r="B206" s="27" t="n"/>
      <c r="C206" s="27" t="n"/>
      <c r="D206" s="28" t="n"/>
      <c r="E206" s="28" t="n"/>
      <c r="F206" s="29" t="n"/>
      <c r="G206" s="30" t="n"/>
      <c r="H206" s="20">
        <f>IF(A206="","",TRIM(IF(WEEKDAY(A206,2)&gt;5,"Fin de semana. ","")&amp;IF(SUMIFS($G$2:$G$601,$A$2:$A$601,A206,$D$2:$D$601,D206)&gt;9,"Más de 9 h en el día. ","")&amp;IF(AND(B206&lt;&gt;"",C206&lt;&gt;"",C206&lt;B206),"Cruza la medianoche. ","")&amp;IF(LEN(TRIM(F206))&lt;15,"Sin descripción suficiente. ","")&amp;IF(AND(ISERROR(SEARCH("R-0",F206)),ISERROR(SEARCH("CU-",F206))),"Sin ticket. ","")&amp;IF(ISNA(MATCH(E206,Datos!$E$8:$E$22,0)),"Proyecto sin valor hora. ","")&amp;IF(ISNA(MATCH(D206,Datos!$A$8:$A$22,0)),"Persona fuera del equipo. ","")))</f>
        <v/>
      </c>
      <c r="I206" s="21" t="n"/>
      <c r="J206" s="22" t="n"/>
      <c r="K206" s="23">
        <f>IF(G206="","",IF(J206&lt;&gt;"",MIN(J206,G206),IF(OR(I206="Observada",I206="Rechazada"),0,G206)))</f>
        <v/>
      </c>
      <c r="L206" s="24" t="n"/>
      <c r="M206" s="25">
        <f>IF(OR(A206="",D206=""),0,IF(COUNTIFS($A$2:A206,A206,$D$2:D206,D206)=1,1,0))</f>
        <v/>
      </c>
    </row>
    <row r="207">
      <c r="A207" s="26" t="n"/>
      <c r="B207" s="27" t="n"/>
      <c r="C207" s="27" t="n"/>
      <c r="D207" s="28" t="n"/>
      <c r="E207" s="28" t="n"/>
      <c r="F207" s="29" t="n"/>
      <c r="G207" s="30" t="n"/>
      <c r="H207" s="20">
        <f>IF(A207="","",TRIM(IF(WEEKDAY(A207,2)&gt;5,"Fin de semana. ","")&amp;IF(SUMIFS($G$2:$G$601,$A$2:$A$601,A207,$D$2:$D$601,D207)&gt;9,"Más de 9 h en el día. ","")&amp;IF(AND(B207&lt;&gt;"",C207&lt;&gt;"",C207&lt;B207),"Cruza la medianoche. ","")&amp;IF(LEN(TRIM(F207))&lt;15,"Sin descripción suficiente. ","")&amp;IF(AND(ISERROR(SEARCH("R-0",F207)),ISERROR(SEARCH("CU-",F207))),"Sin ticket. ","")&amp;IF(ISNA(MATCH(E207,Datos!$E$8:$E$22,0)),"Proyecto sin valor hora. ","")&amp;IF(ISNA(MATCH(D207,Datos!$A$8:$A$22,0)),"Persona fuera del equipo. ","")))</f>
        <v/>
      </c>
      <c r="I207" s="21" t="n"/>
      <c r="J207" s="22" t="n"/>
      <c r="K207" s="23">
        <f>IF(G207="","",IF(J207&lt;&gt;"",MIN(J207,G207),IF(OR(I207="Observada",I207="Rechazada"),0,G207)))</f>
        <v/>
      </c>
      <c r="L207" s="24" t="n"/>
      <c r="M207" s="25">
        <f>IF(OR(A207="",D207=""),0,IF(COUNTIFS($A$2:A207,A207,$D$2:D207,D207)=1,1,0))</f>
        <v/>
      </c>
    </row>
    <row r="208">
      <c r="A208" s="26" t="n"/>
      <c r="B208" s="27" t="n"/>
      <c r="C208" s="27" t="n"/>
      <c r="D208" s="28" t="n"/>
      <c r="E208" s="28" t="n"/>
      <c r="F208" s="29" t="n"/>
      <c r="G208" s="30" t="n"/>
      <c r="H208" s="20">
        <f>IF(A208="","",TRIM(IF(WEEKDAY(A208,2)&gt;5,"Fin de semana. ","")&amp;IF(SUMIFS($G$2:$G$601,$A$2:$A$601,A208,$D$2:$D$601,D208)&gt;9,"Más de 9 h en el día. ","")&amp;IF(AND(B208&lt;&gt;"",C208&lt;&gt;"",C208&lt;B208),"Cruza la medianoche. ","")&amp;IF(LEN(TRIM(F208))&lt;15,"Sin descripción suficiente. ","")&amp;IF(AND(ISERROR(SEARCH("R-0",F208)),ISERROR(SEARCH("CU-",F208))),"Sin ticket. ","")&amp;IF(ISNA(MATCH(E208,Datos!$E$8:$E$22,0)),"Proyecto sin valor hora. ","")&amp;IF(ISNA(MATCH(D208,Datos!$A$8:$A$22,0)),"Persona fuera del equipo. ","")))</f>
        <v/>
      </c>
      <c r="I208" s="21" t="n"/>
      <c r="J208" s="22" t="n"/>
      <c r="K208" s="23">
        <f>IF(G208="","",IF(J208&lt;&gt;"",MIN(J208,G208),IF(OR(I208="Observada",I208="Rechazada"),0,G208)))</f>
        <v/>
      </c>
      <c r="L208" s="24" t="n"/>
      <c r="M208" s="25">
        <f>IF(OR(A208="",D208=""),0,IF(COUNTIFS($A$2:A208,A208,$D$2:D208,D208)=1,1,0))</f>
        <v/>
      </c>
    </row>
    <row r="209">
      <c r="A209" s="26" t="n"/>
      <c r="B209" s="27" t="n"/>
      <c r="C209" s="27" t="n"/>
      <c r="D209" s="28" t="n"/>
      <c r="E209" s="28" t="n"/>
      <c r="F209" s="29" t="n"/>
      <c r="G209" s="30" t="n"/>
      <c r="H209" s="20">
        <f>IF(A209="","",TRIM(IF(WEEKDAY(A209,2)&gt;5,"Fin de semana. ","")&amp;IF(SUMIFS($G$2:$G$601,$A$2:$A$601,A209,$D$2:$D$601,D209)&gt;9,"Más de 9 h en el día. ","")&amp;IF(AND(B209&lt;&gt;"",C209&lt;&gt;"",C209&lt;B209),"Cruza la medianoche. ","")&amp;IF(LEN(TRIM(F209))&lt;15,"Sin descripción suficiente. ","")&amp;IF(AND(ISERROR(SEARCH("R-0",F209)),ISERROR(SEARCH("CU-",F209))),"Sin ticket. ","")&amp;IF(ISNA(MATCH(E209,Datos!$E$8:$E$22,0)),"Proyecto sin valor hora. ","")&amp;IF(ISNA(MATCH(D209,Datos!$A$8:$A$22,0)),"Persona fuera del equipo. ","")))</f>
        <v/>
      </c>
      <c r="I209" s="21" t="n"/>
      <c r="J209" s="22" t="n"/>
      <c r="K209" s="23">
        <f>IF(G209="","",IF(J209&lt;&gt;"",MIN(J209,G209),IF(OR(I209="Observada",I209="Rechazada"),0,G209)))</f>
        <v/>
      </c>
      <c r="L209" s="24" t="n"/>
      <c r="M209" s="25">
        <f>IF(OR(A209="",D209=""),0,IF(COUNTIFS($A$2:A209,A209,$D$2:D209,D209)=1,1,0))</f>
        <v/>
      </c>
    </row>
    <row r="210">
      <c r="A210" s="26" t="n"/>
      <c r="B210" s="27" t="n"/>
      <c r="C210" s="27" t="n"/>
      <c r="D210" s="28" t="n"/>
      <c r="E210" s="28" t="n"/>
      <c r="F210" s="29" t="n"/>
      <c r="G210" s="30" t="n"/>
      <c r="H210" s="20">
        <f>IF(A210="","",TRIM(IF(WEEKDAY(A210,2)&gt;5,"Fin de semana. ","")&amp;IF(SUMIFS($G$2:$G$601,$A$2:$A$601,A210,$D$2:$D$601,D210)&gt;9,"Más de 9 h en el día. ","")&amp;IF(AND(B210&lt;&gt;"",C210&lt;&gt;"",C210&lt;B210),"Cruza la medianoche. ","")&amp;IF(LEN(TRIM(F210))&lt;15,"Sin descripción suficiente. ","")&amp;IF(AND(ISERROR(SEARCH("R-0",F210)),ISERROR(SEARCH("CU-",F210))),"Sin ticket. ","")&amp;IF(ISNA(MATCH(E210,Datos!$E$8:$E$22,0)),"Proyecto sin valor hora. ","")&amp;IF(ISNA(MATCH(D210,Datos!$A$8:$A$22,0)),"Persona fuera del equipo. ","")))</f>
        <v/>
      </c>
      <c r="I210" s="21" t="n"/>
      <c r="J210" s="22" t="n"/>
      <c r="K210" s="23">
        <f>IF(G210="","",IF(J210&lt;&gt;"",MIN(J210,G210),IF(OR(I210="Observada",I210="Rechazada"),0,G210)))</f>
        <v/>
      </c>
      <c r="L210" s="24" t="n"/>
      <c r="M210" s="25">
        <f>IF(OR(A210="",D210=""),0,IF(COUNTIFS($A$2:A210,A210,$D$2:D210,D210)=1,1,0))</f>
        <v/>
      </c>
    </row>
    <row r="211">
      <c r="A211" s="26" t="n"/>
      <c r="B211" s="27" t="n"/>
      <c r="C211" s="27" t="n"/>
      <c r="D211" s="28" t="n"/>
      <c r="E211" s="28" t="n"/>
      <c r="F211" s="29" t="n"/>
      <c r="G211" s="30" t="n"/>
      <c r="H211" s="20">
        <f>IF(A211="","",TRIM(IF(WEEKDAY(A211,2)&gt;5,"Fin de semana. ","")&amp;IF(SUMIFS($G$2:$G$601,$A$2:$A$601,A211,$D$2:$D$601,D211)&gt;9,"Más de 9 h en el día. ","")&amp;IF(AND(B211&lt;&gt;"",C211&lt;&gt;"",C211&lt;B211),"Cruza la medianoche. ","")&amp;IF(LEN(TRIM(F211))&lt;15,"Sin descripción suficiente. ","")&amp;IF(AND(ISERROR(SEARCH("R-0",F211)),ISERROR(SEARCH("CU-",F211))),"Sin ticket. ","")&amp;IF(ISNA(MATCH(E211,Datos!$E$8:$E$22,0)),"Proyecto sin valor hora. ","")&amp;IF(ISNA(MATCH(D211,Datos!$A$8:$A$22,0)),"Persona fuera del equipo. ","")))</f>
        <v/>
      </c>
      <c r="I211" s="21" t="n"/>
      <c r="J211" s="22" t="n"/>
      <c r="K211" s="23">
        <f>IF(G211="","",IF(J211&lt;&gt;"",MIN(J211,G211),IF(OR(I211="Observada",I211="Rechazada"),0,G211)))</f>
        <v/>
      </c>
      <c r="L211" s="24" t="n"/>
      <c r="M211" s="25">
        <f>IF(OR(A211="",D211=""),0,IF(COUNTIFS($A$2:A211,A211,$D$2:D211,D211)=1,1,0))</f>
        <v/>
      </c>
    </row>
    <row r="212">
      <c r="A212" s="26" t="n"/>
      <c r="B212" s="27" t="n"/>
      <c r="C212" s="27" t="n"/>
      <c r="D212" s="28" t="n"/>
      <c r="E212" s="28" t="n"/>
      <c r="F212" s="29" t="n"/>
      <c r="G212" s="30" t="n"/>
      <c r="H212" s="20">
        <f>IF(A212="","",TRIM(IF(WEEKDAY(A212,2)&gt;5,"Fin de semana. ","")&amp;IF(SUMIFS($G$2:$G$601,$A$2:$A$601,A212,$D$2:$D$601,D212)&gt;9,"Más de 9 h en el día. ","")&amp;IF(AND(B212&lt;&gt;"",C212&lt;&gt;"",C212&lt;B212),"Cruza la medianoche. ","")&amp;IF(LEN(TRIM(F212))&lt;15,"Sin descripción suficiente. ","")&amp;IF(AND(ISERROR(SEARCH("R-0",F212)),ISERROR(SEARCH("CU-",F212))),"Sin ticket. ","")&amp;IF(ISNA(MATCH(E212,Datos!$E$8:$E$22,0)),"Proyecto sin valor hora. ","")&amp;IF(ISNA(MATCH(D212,Datos!$A$8:$A$22,0)),"Persona fuera del equipo. ","")))</f>
        <v/>
      </c>
      <c r="I212" s="21" t="n"/>
      <c r="J212" s="22" t="n"/>
      <c r="K212" s="23">
        <f>IF(G212="","",IF(J212&lt;&gt;"",MIN(J212,G212),IF(OR(I212="Observada",I212="Rechazada"),0,G212)))</f>
        <v/>
      </c>
      <c r="L212" s="24" t="n"/>
      <c r="M212" s="25">
        <f>IF(OR(A212="",D212=""),0,IF(COUNTIFS($A$2:A212,A212,$D$2:D212,D212)=1,1,0))</f>
        <v/>
      </c>
    </row>
    <row r="213">
      <c r="A213" s="26" t="n"/>
      <c r="B213" s="27" t="n"/>
      <c r="C213" s="27" t="n"/>
      <c r="D213" s="28" t="n"/>
      <c r="E213" s="28" t="n"/>
      <c r="F213" s="29" t="n"/>
      <c r="G213" s="30" t="n"/>
      <c r="H213" s="20">
        <f>IF(A213="","",TRIM(IF(WEEKDAY(A213,2)&gt;5,"Fin de semana. ","")&amp;IF(SUMIFS($G$2:$G$601,$A$2:$A$601,A213,$D$2:$D$601,D213)&gt;9,"Más de 9 h en el día. ","")&amp;IF(AND(B213&lt;&gt;"",C213&lt;&gt;"",C213&lt;B213),"Cruza la medianoche. ","")&amp;IF(LEN(TRIM(F213))&lt;15,"Sin descripción suficiente. ","")&amp;IF(AND(ISERROR(SEARCH("R-0",F213)),ISERROR(SEARCH("CU-",F213))),"Sin ticket. ","")&amp;IF(ISNA(MATCH(E213,Datos!$E$8:$E$22,0)),"Proyecto sin valor hora. ","")&amp;IF(ISNA(MATCH(D213,Datos!$A$8:$A$22,0)),"Persona fuera del equipo. ","")))</f>
        <v/>
      </c>
      <c r="I213" s="21" t="n"/>
      <c r="J213" s="22" t="n"/>
      <c r="K213" s="23">
        <f>IF(G213="","",IF(J213&lt;&gt;"",MIN(J213,G213),IF(OR(I213="Observada",I213="Rechazada"),0,G213)))</f>
        <v/>
      </c>
      <c r="L213" s="24" t="n"/>
      <c r="M213" s="25">
        <f>IF(OR(A213="",D213=""),0,IF(COUNTIFS($A$2:A213,A213,$D$2:D213,D213)=1,1,0))</f>
        <v/>
      </c>
    </row>
    <row r="214">
      <c r="A214" s="26" t="n"/>
      <c r="B214" s="27" t="n"/>
      <c r="C214" s="27" t="n"/>
      <c r="D214" s="28" t="n"/>
      <c r="E214" s="28" t="n"/>
      <c r="F214" s="29" t="n"/>
      <c r="G214" s="30" t="n"/>
      <c r="H214" s="20">
        <f>IF(A214="","",TRIM(IF(WEEKDAY(A214,2)&gt;5,"Fin de semana. ","")&amp;IF(SUMIFS($G$2:$G$601,$A$2:$A$601,A214,$D$2:$D$601,D214)&gt;9,"Más de 9 h en el día. ","")&amp;IF(AND(B214&lt;&gt;"",C214&lt;&gt;"",C214&lt;B214),"Cruza la medianoche. ","")&amp;IF(LEN(TRIM(F214))&lt;15,"Sin descripción suficiente. ","")&amp;IF(AND(ISERROR(SEARCH("R-0",F214)),ISERROR(SEARCH("CU-",F214))),"Sin ticket. ","")&amp;IF(ISNA(MATCH(E214,Datos!$E$8:$E$22,0)),"Proyecto sin valor hora. ","")&amp;IF(ISNA(MATCH(D214,Datos!$A$8:$A$22,0)),"Persona fuera del equipo. ","")))</f>
        <v/>
      </c>
      <c r="I214" s="21" t="n"/>
      <c r="J214" s="22" t="n"/>
      <c r="K214" s="23">
        <f>IF(G214="","",IF(J214&lt;&gt;"",MIN(J214,G214),IF(OR(I214="Observada",I214="Rechazada"),0,G214)))</f>
        <v/>
      </c>
      <c r="L214" s="24" t="n"/>
      <c r="M214" s="25">
        <f>IF(OR(A214="",D214=""),0,IF(COUNTIFS($A$2:A214,A214,$D$2:D214,D214)=1,1,0))</f>
        <v/>
      </c>
    </row>
    <row r="215">
      <c r="A215" s="26" t="n"/>
      <c r="B215" s="27" t="n"/>
      <c r="C215" s="27" t="n"/>
      <c r="D215" s="28" t="n"/>
      <c r="E215" s="28" t="n"/>
      <c r="F215" s="29" t="n"/>
      <c r="G215" s="30" t="n"/>
      <c r="H215" s="20">
        <f>IF(A215="","",TRIM(IF(WEEKDAY(A215,2)&gt;5,"Fin de semana. ","")&amp;IF(SUMIFS($G$2:$G$601,$A$2:$A$601,A215,$D$2:$D$601,D215)&gt;9,"Más de 9 h en el día. ","")&amp;IF(AND(B215&lt;&gt;"",C215&lt;&gt;"",C215&lt;B215),"Cruza la medianoche. ","")&amp;IF(LEN(TRIM(F215))&lt;15,"Sin descripción suficiente. ","")&amp;IF(AND(ISERROR(SEARCH("R-0",F215)),ISERROR(SEARCH("CU-",F215))),"Sin ticket. ","")&amp;IF(ISNA(MATCH(E215,Datos!$E$8:$E$22,0)),"Proyecto sin valor hora. ","")&amp;IF(ISNA(MATCH(D215,Datos!$A$8:$A$22,0)),"Persona fuera del equipo. ","")))</f>
        <v/>
      </c>
      <c r="I215" s="21" t="n"/>
      <c r="J215" s="22" t="n"/>
      <c r="K215" s="23">
        <f>IF(G215="","",IF(J215&lt;&gt;"",MIN(J215,G215),IF(OR(I215="Observada",I215="Rechazada"),0,G215)))</f>
        <v/>
      </c>
      <c r="L215" s="24" t="n"/>
      <c r="M215" s="25">
        <f>IF(OR(A215="",D215=""),0,IF(COUNTIFS($A$2:A215,A215,$D$2:D215,D215)=1,1,0))</f>
        <v/>
      </c>
    </row>
    <row r="216">
      <c r="A216" s="26" t="n"/>
      <c r="B216" s="27" t="n"/>
      <c r="C216" s="27" t="n"/>
      <c r="D216" s="28" t="n"/>
      <c r="E216" s="28" t="n"/>
      <c r="F216" s="29" t="n"/>
      <c r="G216" s="30" t="n"/>
      <c r="H216" s="20">
        <f>IF(A216="","",TRIM(IF(WEEKDAY(A216,2)&gt;5,"Fin de semana. ","")&amp;IF(SUMIFS($G$2:$G$601,$A$2:$A$601,A216,$D$2:$D$601,D216)&gt;9,"Más de 9 h en el día. ","")&amp;IF(AND(B216&lt;&gt;"",C216&lt;&gt;"",C216&lt;B216),"Cruza la medianoche. ","")&amp;IF(LEN(TRIM(F216))&lt;15,"Sin descripción suficiente. ","")&amp;IF(AND(ISERROR(SEARCH("R-0",F216)),ISERROR(SEARCH("CU-",F216))),"Sin ticket. ","")&amp;IF(ISNA(MATCH(E216,Datos!$E$8:$E$22,0)),"Proyecto sin valor hora. ","")&amp;IF(ISNA(MATCH(D216,Datos!$A$8:$A$22,0)),"Persona fuera del equipo. ","")))</f>
        <v/>
      </c>
      <c r="I216" s="21" t="n"/>
      <c r="J216" s="22" t="n"/>
      <c r="K216" s="23">
        <f>IF(G216="","",IF(J216&lt;&gt;"",MIN(J216,G216),IF(OR(I216="Observada",I216="Rechazada"),0,G216)))</f>
        <v/>
      </c>
      <c r="L216" s="24" t="n"/>
      <c r="M216" s="25">
        <f>IF(OR(A216="",D216=""),0,IF(COUNTIFS($A$2:A216,A216,$D$2:D216,D216)=1,1,0))</f>
        <v/>
      </c>
    </row>
    <row r="217">
      <c r="A217" s="26" t="n"/>
      <c r="B217" s="27" t="n"/>
      <c r="C217" s="27" t="n"/>
      <c r="D217" s="28" t="n"/>
      <c r="E217" s="28" t="n"/>
      <c r="F217" s="29" t="n"/>
      <c r="G217" s="30" t="n"/>
      <c r="H217" s="20">
        <f>IF(A217="","",TRIM(IF(WEEKDAY(A217,2)&gt;5,"Fin de semana. ","")&amp;IF(SUMIFS($G$2:$G$601,$A$2:$A$601,A217,$D$2:$D$601,D217)&gt;9,"Más de 9 h en el día. ","")&amp;IF(AND(B217&lt;&gt;"",C217&lt;&gt;"",C217&lt;B217),"Cruza la medianoche. ","")&amp;IF(LEN(TRIM(F217))&lt;15,"Sin descripción suficiente. ","")&amp;IF(AND(ISERROR(SEARCH("R-0",F217)),ISERROR(SEARCH("CU-",F217))),"Sin ticket. ","")&amp;IF(ISNA(MATCH(E217,Datos!$E$8:$E$22,0)),"Proyecto sin valor hora. ","")&amp;IF(ISNA(MATCH(D217,Datos!$A$8:$A$22,0)),"Persona fuera del equipo. ","")))</f>
        <v/>
      </c>
      <c r="I217" s="21" t="n"/>
      <c r="J217" s="22" t="n"/>
      <c r="K217" s="23">
        <f>IF(G217="","",IF(J217&lt;&gt;"",MIN(J217,G217),IF(OR(I217="Observada",I217="Rechazada"),0,G217)))</f>
        <v/>
      </c>
      <c r="L217" s="24" t="n"/>
      <c r="M217" s="25">
        <f>IF(OR(A217="",D217=""),0,IF(COUNTIFS($A$2:A217,A217,$D$2:D217,D217)=1,1,0))</f>
        <v/>
      </c>
    </row>
    <row r="218">
      <c r="A218" s="26" t="n"/>
      <c r="B218" s="27" t="n"/>
      <c r="C218" s="27" t="n"/>
      <c r="D218" s="28" t="n"/>
      <c r="E218" s="28" t="n"/>
      <c r="F218" s="29" t="n"/>
      <c r="G218" s="30" t="n"/>
      <c r="H218" s="20">
        <f>IF(A218="","",TRIM(IF(WEEKDAY(A218,2)&gt;5,"Fin de semana. ","")&amp;IF(SUMIFS($G$2:$G$601,$A$2:$A$601,A218,$D$2:$D$601,D218)&gt;9,"Más de 9 h en el día. ","")&amp;IF(AND(B218&lt;&gt;"",C218&lt;&gt;"",C218&lt;B218),"Cruza la medianoche. ","")&amp;IF(LEN(TRIM(F218))&lt;15,"Sin descripción suficiente. ","")&amp;IF(AND(ISERROR(SEARCH("R-0",F218)),ISERROR(SEARCH("CU-",F218))),"Sin ticket. ","")&amp;IF(ISNA(MATCH(E218,Datos!$E$8:$E$22,0)),"Proyecto sin valor hora. ","")&amp;IF(ISNA(MATCH(D218,Datos!$A$8:$A$22,0)),"Persona fuera del equipo. ","")))</f>
        <v/>
      </c>
      <c r="I218" s="21" t="n"/>
      <c r="J218" s="22" t="n"/>
      <c r="K218" s="23">
        <f>IF(G218="","",IF(J218&lt;&gt;"",MIN(J218,G218),IF(OR(I218="Observada",I218="Rechazada"),0,G218)))</f>
        <v/>
      </c>
      <c r="L218" s="24" t="n"/>
      <c r="M218" s="25">
        <f>IF(OR(A218="",D218=""),0,IF(COUNTIFS($A$2:A218,A218,$D$2:D218,D218)=1,1,0))</f>
        <v/>
      </c>
    </row>
    <row r="219">
      <c r="A219" s="26" t="n"/>
      <c r="B219" s="27" t="n"/>
      <c r="C219" s="27" t="n"/>
      <c r="D219" s="28" t="n"/>
      <c r="E219" s="28" t="n"/>
      <c r="F219" s="29" t="n"/>
      <c r="G219" s="30" t="n"/>
      <c r="H219" s="20">
        <f>IF(A219="","",TRIM(IF(WEEKDAY(A219,2)&gt;5,"Fin de semana. ","")&amp;IF(SUMIFS($G$2:$G$601,$A$2:$A$601,A219,$D$2:$D$601,D219)&gt;9,"Más de 9 h en el día. ","")&amp;IF(AND(B219&lt;&gt;"",C219&lt;&gt;"",C219&lt;B219),"Cruza la medianoche. ","")&amp;IF(LEN(TRIM(F219))&lt;15,"Sin descripción suficiente. ","")&amp;IF(AND(ISERROR(SEARCH("R-0",F219)),ISERROR(SEARCH("CU-",F219))),"Sin ticket. ","")&amp;IF(ISNA(MATCH(E219,Datos!$E$8:$E$22,0)),"Proyecto sin valor hora. ","")&amp;IF(ISNA(MATCH(D219,Datos!$A$8:$A$22,0)),"Persona fuera del equipo. ","")))</f>
        <v/>
      </c>
      <c r="I219" s="21" t="n"/>
      <c r="J219" s="22" t="n"/>
      <c r="K219" s="23">
        <f>IF(G219="","",IF(J219&lt;&gt;"",MIN(J219,G219),IF(OR(I219="Observada",I219="Rechazada"),0,G219)))</f>
        <v/>
      </c>
      <c r="L219" s="24" t="n"/>
      <c r="M219" s="25">
        <f>IF(OR(A219="",D219=""),0,IF(COUNTIFS($A$2:A219,A219,$D$2:D219,D219)=1,1,0))</f>
        <v/>
      </c>
    </row>
    <row r="220">
      <c r="A220" s="26" t="n"/>
      <c r="B220" s="27" t="n"/>
      <c r="C220" s="27" t="n"/>
      <c r="D220" s="28" t="n"/>
      <c r="E220" s="28" t="n"/>
      <c r="F220" s="29" t="n"/>
      <c r="G220" s="30" t="n"/>
      <c r="H220" s="20">
        <f>IF(A220="","",TRIM(IF(WEEKDAY(A220,2)&gt;5,"Fin de semana. ","")&amp;IF(SUMIFS($G$2:$G$601,$A$2:$A$601,A220,$D$2:$D$601,D220)&gt;9,"Más de 9 h en el día. ","")&amp;IF(AND(B220&lt;&gt;"",C220&lt;&gt;"",C220&lt;B220),"Cruza la medianoche. ","")&amp;IF(LEN(TRIM(F220))&lt;15,"Sin descripción suficiente. ","")&amp;IF(AND(ISERROR(SEARCH("R-0",F220)),ISERROR(SEARCH("CU-",F220))),"Sin ticket. ","")&amp;IF(ISNA(MATCH(E220,Datos!$E$8:$E$22,0)),"Proyecto sin valor hora. ","")&amp;IF(ISNA(MATCH(D220,Datos!$A$8:$A$22,0)),"Persona fuera del equipo. ","")))</f>
        <v/>
      </c>
      <c r="I220" s="21" t="n"/>
      <c r="J220" s="22" t="n"/>
      <c r="K220" s="23">
        <f>IF(G220="","",IF(J220&lt;&gt;"",MIN(J220,G220),IF(OR(I220="Observada",I220="Rechazada"),0,G220)))</f>
        <v/>
      </c>
      <c r="L220" s="24" t="n"/>
      <c r="M220" s="25">
        <f>IF(OR(A220="",D220=""),0,IF(COUNTIFS($A$2:A220,A220,$D$2:D220,D220)=1,1,0))</f>
        <v/>
      </c>
    </row>
    <row r="221">
      <c r="A221" s="26" t="n"/>
      <c r="B221" s="27" t="n"/>
      <c r="C221" s="27" t="n"/>
      <c r="D221" s="28" t="n"/>
      <c r="E221" s="28" t="n"/>
      <c r="F221" s="29" t="n"/>
      <c r="G221" s="30" t="n"/>
      <c r="H221" s="20">
        <f>IF(A221="","",TRIM(IF(WEEKDAY(A221,2)&gt;5,"Fin de semana. ","")&amp;IF(SUMIFS($G$2:$G$601,$A$2:$A$601,A221,$D$2:$D$601,D221)&gt;9,"Más de 9 h en el día. ","")&amp;IF(AND(B221&lt;&gt;"",C221&lt;&gt;"",C221&lt;B221),"Cruza la medianoche. ","")&amp;IF(LEN(TRIM(F221))&lt;15,"Sin descripción suficiente. ","")&amp;IF(AND(ISERROR(SEARCH("R-0",F221)),ISERROR(SEARCH("CU-",F221))),"Sin ticket. ","")&amp;IF(ISNA(MATCH(E221,Datos!$E$8:$E$22,0)),"Proyecto sin valor hora. ","")&amp;IF(ISNA(MATCH(D221,Datos!$A$8:$A$22,0)),"Persona fuera del equipo. ","")))</f>
        <v/>
      </c>
      <c r="I221" s="21" t="n"/>
      <c r="J221" s="22" t="n"/>
      <c r="K221" s="23">
        <f>IF(G221="","",IF(J221&lt;&gt;"",MIN(J221,G221),IF(OR(I221="Observada",I221="Rechazada"),0,G221)))</f>
        <v/>
      </c>
      <c r="L221" s="24" t="n"/>
      <c r="M221" s="25">
        <f>IF(OR(A221="",D221=""),0,IF(COUNTIFS($A$2:A221,A221,$D$2:D221,D221)=1,1,0))</f>
        <v/>
      </c>
    </row>
    <row r="222">
      <c r="A222" s="26" t="n"/>
      <c r="B222" s="27" t="n"/>
      <c r="C222" s="27" t="n"/>
      <c r="D222" s="28" t="n"/>
      <c r="E222" s="28" t="n"/>
      <c r="F222" s="29" t="n"/>
      <c r="G222" s="30" t="n"/>
      <c r="H222" s="20">
        <f>IF(A222="","",TRIM(IF(WEEKDAY(A222,2)&gt;5,"Fin de semana. ","")&amp;IF(SUMIFS($G$2:$G$601,$A$2:$A$601,A222,$D$2:$D$601,D222)&gt;9,"Más de 9 h en el día. ","")&amp;IF(AND(B222&lt;&gt;"",C222&lt;&gt;"",C222&lt;B222),"Cruza la medianoche. ","")&amp;IF(LEN(TRIM(F222))&lt;15,"Sin descripción suficiente. ","")&amp;IF(AND(ISERROR(SEARCH("R-0",F222)),ISERROR(SEARCH("CU-",F222))),"Sin ticket. ","")&amp;IF(ISNA(MATCH(E222,Datos!$E$8:$E$22,0)),"Proyecto sin valor hora. ","")&amp;IF(ISNA(MATCH(D222,Datos!$A$8:$A$22,0)),"Persona fuera del equipo. ","")))</f>
        <v/>
      </c>
      <c r="I222" s="21" t="n"/>
      <c r="J222" s="22" t="n"/>
      <c r="K222" s="23">
        <f>IF(G222="","",IF(J222&lt;&gt;"",MIN(J222,G222),IF(OR(I222="Observada",I222="Rechazada"),0,G222)))</f>
        <v/>
      </c>
      <c r="L222" s="24" t="n"/>
      <c r="M222" s="25">
        <f>IF(OR(A222="",D222=""),0,IF(COUNTIFS($A$2:A222,A222,$D$2:D222,D222)=1,1,0))</f>
        <v/>
      </c>
    </row>
    <row r="223">
      <c r="A223" s="26" t="n"/>
      <c r="B223" s="27" t="n"/>
      <c r="C223" s="27" t="n"/>
      <c r="D223" s="28" t="n"/>
      <c r="E223" s="28" t="n"/>
      <c r="F223" s="29" t="n"/>
      <c r="G223" s="30" t="n"/>
      <c r="H223" s="20">
        <f>IF(A223="","",TRIM(IF(WEEKDAY(A223,2)&gt;5,"Fin de semana. ","")&amp;IF(SUMIFS($G$2:$G$601,$A$2:$A$601,A223,$D$2:$D$601,D223)&gt;9,"Más de 9 h en el día. ","")&amp;IF(AND(B223&lt;&gt;"",C223&lt;&gt;"",C223&lt;B223),"Cruza la medianoche. ","")&amp;IF(LEN(TRIM(F223))&lt;15,"Sin descripción suficiente. ","")&amp;IF(AND(ISERROR(SEARCH("R-0",F223)),ISERROR(SEARCH("CU-",F223))),"Sin ticket. ","")&amp;IF(ISNA(MATCH(E223,Datos!$E$8:$E$22,0)),"Proyecto sin valor hora. ","")&amp;IF(ISNA(MATCH(D223,Datos!$A$8:$A$22,0)),"Persona fuera del equipo. ","")))</f>
        <v/>
      </c>
      <c r="I223" s="21" t="n"/>
      <c r="J223" s="22" t="n"/>
      <c r="K223" s="23">
        <f>IF(G223="","",IF(J223&lt;&gt;"",MIN(J223,G223),IF(OR(I223="Observada",I223="Rechazada"),0,G223)))</f>
        <v/>
      </c>
      <c r="L223" s="24" t="n"/>
      <c r="M223" s="25">
        <f>IF(OR(A223="",D223=""),0,IF(COUNTIFS($A$2:A223,A223,$D$2:D223,D223)=1,1,0))</f>
        <v/>
      </c>
    </row>
    <row r="224">
      <c r="A224" s="26" t="n"/>
      <c r="B224" s="27" t="n"/>
      <c r="C224" s="27" t="n"/>
      <c r="D224" s="28" t="n"/>
      <c r="E224" s="28" t="n"/>
      <c r="F224" s="29" t="n"/>
      <c r="G224" s="30" t="n"/>
      <c r="H224" s="20">
        <f>IF(A224="","",TRIM(IF(WEEKDAY(A224,2)&gt;5,"Fin de semana. ","")&amp;IF(SUMIFS($G$2:$G$601,$A$2:$A$601,A224,$D$2:$D$601,D224)&gt;9,"Más de 9 h en el día. ","")&amp;IF(AND(B224&lt;&gt;"",C224&lt;&gt;"",C224&lt;B224),"Cruza la medianoche. ","")&amp;IF(LEN(TRIM(F224))&lt;15,"Sin descripción suficiente. ","")&amp;IF(AND(ISERROR(SEARCH("R-0",F224)),ISERROR(SEARCH("CU-",F224))),"Sin ticket. ","")&amp;IF(ISNA(MATCH(E224,Datos!$E$8:$E$22,0)),"Proyecto sin valor hora. ","")&amp;IF(ISNA(MATCH(D224,Datos!$A$8:$A$22,0)),"Persona fuera del equipo. ","")))</f>
        <v/>
      </c>
      <c r="I224" s="21" t="n"/>
      <c r="J224" s="22" t="n"/>
      <c r="K224" s="23">
        <f>IF(G224="","",IF(J224&lt;&gt;"",MIN(J224,G224),IF(OR(I224="Observada",I224="Rechazada"),0,G224)))</f>
        <v/>
      </c>
      <c r="L224" s="24" t="n"/>
      <c r="M224" s="25">
        <f>IF(OR(A224="",D224=""),0,IF(COUNTIFS($A$2:A224,A224,$D$2:D224,D224)=1,1,0))</f>
        <v/>
      </c>
    </row>
    <row r="225">
      <c r="A225" s="26" t="n"/>
      <c r="B225" s="27" t="n"/>
      <c r="C225" s="27" t="n"/>
      <c r="D225" s="28" t="n"/>
      <c r="E225" s="28" t="n"/>
      <c r="F225" s="29" t="n"/>
      <c r="G225" s="30" t="n"/>
      <c r="H225" s="20">
        <f>IF(A225="","",TRIM(IF(WEEKDAY(A225,2)&gt;5,"Fin de semana. ","")&amp;IF(SUMIFS($G$2:$G$601,$A$2:$A$601,A225,$D$2:$D$601,D225)&gt;9,"Más de 9 h en el día. ","")&amp;IF(AND(B225&lt;&gt;"",C225&lt;&gt;"",C225&lt;B225),"Cruza la medianoche. ","")&amp;IF(LEN(TRIM(F225))&lt;15,"Sin descripción suficiente. ","")&amp;IF(AND(ISERROR(SEARCH("R-0",F225)),ISERROR(SEARCH("CU-",F225))),"Sin ticket. ","")&amp;IF(ISNA(MATCH(E225,Datos!$E$8:$E$22,0)),"Proyecto sin valor hora. ","")&amp;IF(ISNA(MATCH(D225,Datos!$A$8:$A$22,0)),"Persona fuera del equipo. ","")))</f>
        <v/>
      </c>
      <c r="I225" s="21" t="n"/>
      <c r="J225" s="22" t="n"/>
      <c r="K225" s="23">
        <f>IF(G225="","",IF(J225&lt;&gt;"",MIN(J225,G225),IF(OR(I225="Observada",I225="Rechazada"),0,G225)))</f>
        <v/>
      </c>
      <c r="L225" s="24" t="n"/>
      <c r="M225" s="25">
        <f>IF(OR(A225="",D225=""),0,IF(COUNTIFS($A$2:A225,A225,$D$2:D225,D225)=1,1,0))</f>
        <v/>
      </c>
    </row>
    <row r="226">
      <c r="A226" s="26" t="n"/>
      <c r="B226" s="27" t="n"/>
      <c r="C226" s="27" t="n"/>
      <c r="D226" s="28" t="n"/>
      <c r="E226" s="28" t="n"/>
      <c r="F226" s="29" t="n"/>
      <c r="G226" s="30" t="n"/>
      <c r="H226" s="20">
        <f>IF(A226="","",TRIM(IF(WEEKDAY(A226,2)&gt;5,"Fin de semana. ","")&amp;IF(SUMIFS($G$2:$G$601,$A$2:$A$601,A226,$D$2:$D$601,D226)&gt;9,"Más de 9 h en el día. ","")&amp;IF(AND(B226&lt;&gt;"",C226&lt;&gt;"",C226&lt;B226),"Cruza la medianoche. ","")&amp;IF(LEN(TRIM(F226))&lt;15,"Sin descripción suficiente. ","")&amp;IF(AND(ISERROR(SEARCH("R-0",F226)),ISERROR(SEARCH("CU-",F226))),"Sin ticket. ","")&amp;IF(ISNA(MATCH(E226,Datos!$E$8:$E$22,0)),"Proyecto sin valor hora. ","")&amp;IF(ISNA(MATCH(D226,Datos!$A$8:$A$22,0)),"Persona fuera del equipo. ","")))</f>
        <v/>
      </c>
      <c r="I226" s="21" t="n"/>
      <c r="J226" s="22" t="n"/>
      <c r="K226" s="23">
        <f>IF(G226="","",IF(J226&lt;&gt;"",MIN(J226,G226),IF(OR(I226="Observada",I226="Rechazada"),0,G226)))</f>
        <v/>
      </c>
      <c r="L226" s="24" t="n"/>
      <c r="M226" s="25">
        <f>IF(OR(A226="",D226=""),0,IF(COUNTIFS($A$2:A226,A226,$D$2:D226,D226)=1,1,0))</f>
        <v/>
      </c>
    </row>
    <row r="227">
      <c r="A227" s="26" t="n"/>
      <c r="B227" s="27" t="n"/>
      <c r="C227" s="27" t="n"/>
      <c r="D227" s="28" t="n"/>
      <c r="E227" s="28" t="n"/>
      <c r="F227" s="29" t="n"/>
      <c r="G227" s="30" t="n"/>
      <c r="H227" s="20">
        <f>IF(A227="","",TRIM(IF(WEEKDAY(A227,2)&gt;5,"Fin de semana. ","")&amp;IF(SUMIFS($G$2:$G$601,$A$2:$A$601,A227,$D$2:$D$601,D227)&gt;9,"Más de 9 h en el día. ","")&amp;IF(AND(B227&lt;&gt;"",C227&lt;&gt;"",C227&lt;B227),"Cruza la medianoche. ","")&amp;IF(LEN(TRIM(F227))&lt;15,"Sin descripción suficiente. ","")&amp;IF(AND(ISERROR(SEARCH("R-0",F227)),ISERROR(SEARCH("CU-",F227))),"Sin ticket. ","")&amp;IF(ISNA(MATCH(E227,Datos!$E$8:$E$22,0)),"Proyecto sin valor hora. ","")&amp;IF(ISNA(MATCH(D227,Datos!$A$8:$A$22,0)),"Persona fuera del equipo. ","")))</f>
        <v/>
      </c>
      <c r="I227" s="21" t="n"/>
      <c r="J227" s="22" t="n"/>
      <c r="K227" s="23">
        <f>IF(G227="","",IF(J227&lt;&gt;"",MIN(J227,G227),IF(OR(I227="Observada",I227="Rechazada"),0,G227)))</f>
        <v/>
      </c>
      <c r="L227" s="24" t="n"/>
      <c r="M227" s="25">
        <f>IF(OR(A227="",D227=""),0,IF(COUNTIFS($A$2:A227,A227,$D$2:D227,D227)=1,1,0))</f>
        <v/>
      </c>
    </row>
    <row r="228">
      <c r="A228" s="26" t="n"/>
      <c r="B228" s="27" t="n"/>
      <c r="C228" s="27" t="n"/>
      <c r="D228" s="28" t="n"/>
      <c r="E228" s="28" t="n"/>
      <c r="F228" s="29" t="n"/>
      <c r="G228" s="30" t="n"/>
      <c r="H228" s="20">
        <f>IF(A228="","",TRIM(IF(WEEKDAY(A228,2)&gt;5,"Fin de semana. ","")&amp;IF(SUMIFS($G$2:$G$601,$A$2:$A$601,A228,$D$2:$D$601,D228)&gt;9,"Más de 9 h en el día. ","")&amp;IF(AND(B228&lt;&gt;"",C228&lt;&gt;"",C228&lt;B228),"Cruza la medianoche. ","")&amp;IF(LEN(TRIM(F228))&lt;15,"Sin descripción suficiente. ","")&amp;IF(AND(ISERROR(SEARCH("R-0",F228)),ISERROR(SEARCH("CU-",F228))),"Sin ticket. ","")&amp;IF(ISNA(MATCH(E228,Datos!$E$8:$E$22,0)),"Proyecto sin valor hora. ","")&amp;IF(ISNA(MATCH(D228,Datos!$A$8:$A$22,0)),"Persona fuera del equipo. ","")))</f>
        <v/>
      </c>
      <c r="I228" s="21" t="n"/>
      <c r="J228" s="22" t="n"/>
      <c r="K228" s="23">
        <f>IF(G228="","",IF(J228&lt;&gt;"",MIN(J228,G228),IF(OR(I228="Observada",I228="Rechazada"),0,G228)))</f>
        <v/>
      </c>
      <c r="L228" s="24" t="n"/>
      <c r="M228" s="25">
        <f>IF(OR(A228="",D228=""),0,IF(COUNTIFS($A$2:A228,A228,$D$2:D228,D228)=1,1,0))</f>
        <v/>
      </c>
    </row>
    <row r="229">
      <c r="A229" s="26" t="n"/>
      <c r="B229" s="27" t="n"/>
      <c r="C229" s="27" t="n"/>
      <c r="D229" s="28" t="n"/>
      <c r="E229" s="28" t="n"/>
      <c r="F229" s="29" t="n"/>
      <c r="G229" s="30" t="n"/>
      <c r="H229" s="20">
        <f>IF(A229="","",TRIM(IF(WEEKDAY(A229,2)&gt;5,"Fin de semana. ","")&amp;IF(SUMIFS($G$2:$G$601,$A$2:$A$601,A229,$D$2:$D$601,D229)&gt;9,"Más de 9 h en el día. ","")&amp;IF(AND(B229&lt;&gt;"",C229&lt;&gt;"",C229&lt;B229),"Cruza la medianoche. ","")&amp;IF(LEN(TRIM(F229))&lt;15,"Sin descripción suficiente. ","")&amp;IF(AND(ISERROR(SEARCH("R-0",F229)),ISERROR(SEARCH("CU-",F229))),"Sin ticket. ","")&amp;IF(ISNA(MATCH(E229,Datos!$E$8:$E$22,0)),"Proyecto sin valor hora. ","")&amp;IF(ISNA(MATCH(D229,Datos!$A$8:$A$22,0)),"Persona fuera del equipo. ","")))</f>
        <v/>
      </c>
      <c r="I229" s="21" t="n"/>
      <c r="J229" s="22" t="n"/>
      <c r="K229" s="23">
        <f>IF(G229="","",IF(J229&lt;&gt;"",MIN(J229,G229),IF(OR(I229="Observada",I229="Rechazada"),0,G229)))</f>
        <v/>
      </c>
      <c r="L229" s="24" t="n"/>
      <c r="M229" s="25">
        <f>IF(OR(A229="",D229=""),0,IF(COUNTIFS($A$2:A229,A229,$D$2:D229,D229)=1,1,0))</f>
        <v/>
      </c>
    </row>
    <row r="230">
      <c r="A230" s="26" t="n"/>
      <c r="B230" s="27" t="n"/>
      <c r="C230" s="27" t="n"/>
      <c r="D230" s="28" t="n"/>
      <c r="E230" s="28" t="n"/>
      <c r="F230" s="29" t="n"/>
      <c r="G230" s="30" t="n"/>
      <c r="H230" s="20">
        <f>IF(A230="","",TRIM(IF(WEEKDAY(A230,2)&gt;5,"Fin de semana. ","")&amp;IF(SUMIFS($G$2:$G$601,$A$2:$A$601,A230,$D$2:$D$601,D230)&gt;9,"Más de 9 h en el día. ","")&amp;IF(AND(B230&lt;&gt;"",C230&lt;&gt;"",C230&lt;B230),"Cruza la medianoche. ","")&amp;IF(LEN(TRIM(F230))&lt;15,"Sin descripción suficiente. ","")&amp;IF(AND(ISERROR(SEARCH("R-0",F230)),ISERROR(SEARCH("CU-",F230))),"Sin ticket. ","")&amp;IF(ISNA(MATCH(E230,Datos!$E$8:$E$22,0)),"Proyecto sin valor hora. ","")&amp;IF(ISNA(MATCH(D230,Datos!$A$8:$A$22,0)),"Persona fuera del equipo. ","")))</f>
        <v/>
      </c>
      <c r="I230" s="21" t="n"/>
      <c r="J230" s="22" t="n"/>
      <c r="K230" s="23">
        <f>IF(G230="","",IF(J230&lt;&gt;"",MIN(J230,G230),IF(OR(I230="Observada",I230="Rechazada"),0,G230)))</f>
        <v/>
      </c>
      <c r="L230" s="24" t="n"/>
      <c r="M230" s="25">
        <f>IF(OR(A230="",D230=""),0,IF(COUNTIFS($A$2:A230,A230,$D$2:D230,D230)=1,1,0))</f>
        <v/>
      </c>
    </row>
    <row r="231">
      <c r="A231" s="26" t="n"/>
      <c r="B231" s="27" t="n"/>
      <c r="C231" s="27" t="n"/>
      <c r="D231" s="28" t="n"/>
      <c r="E231" s="28" t="n"/>
      <c r="F231" s="29" t="n"/>
      <c r="G231" s="30" t="n"/>
      <c r="H231" s="20">
        <f>IF(A231="","",TRIM(IF(WEEKDAY(A231,2)&gt;5,"Fin de semana. ","")&amp;IF(SUMIFS($G$2:$G$601,$A$2:$A$601,A231,$D$2:$D$601,D231)&gt;9,"Más de 9 h en el día. ","")&amp;IF(AND(B231&lt;&gt;"",C231&lt;&gt;"",C231&lt;B231),"Cruza la medianoche. ","")&amp;IF(LEN(TRIM(F231))&lt;15,"Sin descripción suficiente. ","")&amp;IF(AND(ISERROR(SEARCH("R-0",F231)),ISERROR(SEARCH("CU-",F231))),"Sin ticket. ","")&amp;IF(ISNA(MATCH(E231,Datos!$E$8:$E$22,0)),"Proyecto sin valor hora. ","")&amp;IF(ISNA(MATCH(D231,Datos!$A$8:$A$22,0)),"Persona fuera del equipo. ","")))</f>
        <v/>
      </c>
      <c r="I231" s="21" t="n"/>
      <c r="J231" s="22" t="n"/>
      <c r="K231" s="23">
        <f>IF(G231="","",IF(J231&lt;&gt;"",MIN(J231,G231),IF(OR(I231="Observada",I231="Rechazada"),0,G231)))</f>
        <v/>
      </c>
      <c r="L231" s="24" t="n"/>
      <c r="M231" s="25">
        <f>IF(OR(A231="",D231=""),0,IF(COUNTIFS($A$2:A231,A231,$D$2:D231,D231)=1,1,0))</f>
        <v/>
      </c>
    </row>
    <row r="232">
      <c r="A232" s="26" t="n"/>
      <c r="B232" s="27" t="n"/>
      <c r="C232" s="27" t="n"/>
      <c r="D232" s="28" t="n"/>
      <c r="E232" s="28" t="n"/>
      <c r="F232" s="29" t="n"/>
      <c r="G232" s="30" t="n"/>
      <c r="H232" s="20">
        <f>IF(A232="","",TRIM(IF(WEEKDAY(A232,2)&gt;5,"Fin de semana. ","")&amp;IF(SUMIFS($G$2:$G$601,$A$2:$A$601,A232,$D$2:$D$601,D232)&gt;9,"Más de 9 h en el día. ","")&amp;IF(AND(B232&lt;&gt;"",C232&lt;&gt;"",C232&lt;B232),"Cruza la medianoche. ","")&amp;IF(LEN(TRIM(F232))&lt;15,"Sin descripción suficiente. ","")&amp;IF(AND(ISERROR(SEARCH("R-0",F232)),ISERROR(SEARCH("CU-",F232))),"Sin ticket. ","")&amp;IF(ISNA(MATCH(E232,Datos!$E$8:$E$22,0)),"Proyecto sin valor hora. ","")&amp;IF(ISNA(MATCH(D232,Datos!$A$8:$A$22,0)),"Persona fuera del equipo. ","")))</f>
        <v/>
      </c>
      <c r="I232" s="21" t="n"/>
      <c r="J232" s="22" t="n"/>
      <c r="K232" s="23">
        <f>IF(G232="","",IF(J232&lt;&gt;"",MIN(J232,G232),IF(OR(I232="Observada",I232="Rechazada"),0,G232)))</f>
        <v/>
      </c>
      <c r="L232" s="24" t="n"/>
      <c r="M232" s="25">
        <f>IF(OR(A232="",D232=""),0,IF(COUNTIFS($A$2:A232,A232,$D$2:D232,D232)=1,1,0))</f>
        <v/>
      </c>
    </row>
    <row r="233">
      <c r="A233" s="26" t="n"/>
      <c r="B233" s="27" t="n"/>
      <c r="C233" s="27" t="n"/>
      <c r="D233" s="28" t="n"/>
      <c r="E233" s="28" t="n"/>
      <c r="F233" s="29" t="n"/>
      <c r="G233" s="30" t="n"/>
      <c r="H233" s="20">
        <f>IF(A233="","",TRIM(IF(WEEKDAY(A233,2)&gt;5,"Fin de semana. ","")&amp;IF(SUMIFS($G$2:$G$601,$A$2:$A$601,A233,$D$2:$D$601,D233)&gt;9,"Más de 9 h en el día. ","")&amp;IF(AND(B233&lt;&gt;"",C233&lt;&gt;"",C233&lt;B233),"Cruza la medianoche. ","")&amp;IF(LEN(TRIM(F233))&lt;15,"Sin descripción suficiente. ","")&amp;IF(AND(ISERROR(SEARCH("R-0",F233)),ISERROR(SEARCH("CU-",F233))),"Sin ticket. ","")&amp;IF(ISNA(MATCH(E233,Datos!$E$8:$E$22,0)),"Proyecto sin valor hora. ","")&amp;IF(ISNA(MATCH(D233,Datos!$A$8:$A$22,0)),"Persona fuera del equipo. ","")))</f>
        <v/>
      </c>
      <c r="I233" s="21" t="n"/>
      <c r="J233" s="22" t="n"/>
      <c r="K233" s="23">
        <f>IF(G233="","",IF(J233&lt;&gt;"",MIN(J233,G233),IF(OR(I233="Observada",I233="Rechazada"),0,G233)))</f>
        <v/>
      </c>
      <c r="L233" s="24" t="n"/>
      <c r="M233" s="25">
        <f>IF(OR(A233="",D233=""),0,IF(COUNTIFS($A$2:A233,A233,$D$2:D233,D233)=1,1,0))</f>
        <v/>
      </c>
    </row>
    <row r="234">
      <c r="A234" s="26" t="n"/>
      <c r="B234" s="27" t="n"/>
      <c r="C234" s="27" t="n"/>
      <c r="D234" s="28" t="n"/>
      <c r="E234" s="28" t="n"/>
      <c r="F234" s="29" t="n"/>
      <c r="G234" s="30" t="n"/>
      <c r="H234" s="20">
        <f>IF(A234="","",TRIM(IF(WEEKDAY(A234,2)&gt;5,"Fin de semana. ","")&amp;IF(SUMIFS($G$2:$G$601,$A$2:$A$601,A234,$D$2:$D$601,D234)&gt;9,"Más de 9 h en el día. ","")&amp;IF(AND(B234&lt;&gt;"",C234&lt;&gt;"",C234&lt;B234),"Cruza la medianoche. ","")&amp;IF(LEN(TRIM(F234))&lt;15,"Sin descripción suficiente. ","")&amp;IF(AND(ISERROR(SEARCH("R-0",F234)),ISERROR(SEARCH("CU-",F234))),"Sin ticket. ","")&amp;IF(ISNA(MATCH(E234,Datos!$E$8:$E$22,0)),"Proyecto sin valor hora. ","")&amp;IF(ISNA(MATCH(D234,Datos!$A$8:$A$22,0)),"Persona fuera del equipo. ","")))</f>
        <v/>
      </c>
      <c r="I234" s="21" t="n"/>
      <c r="J234" s="22" t="n"/>
      <c r="K234" s="23">
        <f>IF(G234="","",IF(J234&lt;&gt;"",MIN(J234,G234),IF(OR(I234="Observada",I234="Rechazada"),0,G234)))</f>
        <v/>
      </c>
      <c r="L234" s="24" t="n"/>
      <c r="M234" s="25">
        <f>IF(OR(A234="",D234=""),0,IF(COUNTIFS($A$2:A234,A234,$D$2:D234,D234)=1,1,0))</f>
        <v/>
      </c>
    </row>
    <row r="235">
      <c r="A235" s="26" t="n"/>
      <c r="B235" s="27" t="n"/>
      <c r="C235" s="27" t="n"/>
      <c r="D235" s="28" t="n"/>
      <c r="E235" s="28" t="n"/>
      <c r="F235" s="29" t="n"/>
      <c r="G235" s="30" t="n"/>
      <c r="H235" s="20">
        <f>IF(A235="","",TRIM(IF(WEEKDAY(A235,2)&gt;5,"Fin de semana. ","")&amp;IF(SUMIFS($G$2:$G$601,$A$2:$A$601,A235,$D$2:$D$601,D235)&gt;9,"Más de 9 h en el día. ","")&amp;IF(AND(B235&lt;&gt;"",C235&lt;&gt;"",C235&lt;B235),"Cruza la medianoche. ","")&amp;IF(LEN(TRIM(F235))&lt;15,"Sin descripción suficiente. ","")&amp;IF(AND(ISERROR(SEARCH("R-0",F235)),ISERROR(SEARCH("CU-",F235))),"Sin ticket. ","")&amp;IF(ISNA(MATCH(E235,Datos!$E$8:$E$22,0)),"Proyecto sin valor hora. ","")&amp;IF(ISNA(MATCH(D235,Datos!$A$8:$A$22,0)),"Persona fuera del equipo. ","")))</f>
        <v/>
      </c>
      <c r="I235" s="21" t="n"/>
      <c r="J235" s="22" t="n"/>
      <c r="K235" s="23">
        <f>IF(G235="","",IF(J235&lt;&gt;"",MIN(J235,G235),IF(OR(I235="Observada",I235="Rechazada"),0,G235)))</f>
        <v/>
      </c>
      <c r="L235" s="24" t="n"/>
      <c r="M235" s="25">
        <f>IF(OR(A235="",D235=""),0,IF(COUNTIFS($A$2:A235,A235,$D$2:D235,D235)=1,1,0))</f>
        <v/>
      </c>
    </row>
    <row r="236">
      <c r="A236" s="26" t="n"/>
      <c r="B236" s="27" t="n"/>
      <c r="C236" s="27" t="n"/>
      <c r="D236" s="28" t="n"/>
      <c r="E236" s="28" t="n"/>
      <c r="F236" s="29" t="n"/>
      <c r="G236" s="30" t="n"/>
      <c r="H236" s="20">
        <f>IF(A236="","",TRIM(IF(WEEKDAY(A236,2)&gt;5,"Fin de semana. ","")&amp;IF(SUMIFS($G$2:$G$601,$A$2:$A$601,A236,$D$2:$D$601,D236)&gt;9,"Más de 9 h en el día. ","")&amp;IF(AND(B236&lt;&gt;"",C236&lt;&gt;"",C236&lt;B236),"Cruza la medianoche. ","")&amp;IF(LEN(TRIM(F236))&lt;15,"Sin descripción suficiente. ","")&amp;IF(AND(ISERROR(SEARCH("R-0",F236)),ISERROR(SEARCH("CU-",F236))),"Sin ticket. ","")&amp;IF(ISNA(MATCH(E236,Datos!$E$8:$E$22,0)),"Proyecto sin valor hora. ","")&amp;IF(ISNA(MATCH(D236,Datos!$A$8:$A$22,0)),"Persona fuera del equipo. ","")))</f>
        <v/>
      </c>
      <c r="I236" s="21" t="n"/>
      <c r="J236" s="22" t="n"/>
      <c r="K236" s="23">
        <f>IF(G236="","",IF(J236&lt;&gt;"",MIN(J236,G236),IF(OR(I236="Observada",I236="Rechazada"),0,G236)))</f>
        <v/>
      </c>
      <c r="L236" s="24" t="n"/>
      <c r="M236" s="25">
        <f>IF(OR(A236="",D236=""),0,IF(COUNTIFS($A$2:A236,A236,$D$2:D236,D236)=1,1,0))</f>
        <v/>
      </c>
    </row>
    <row r="237">
      <c r="A237" s="26" t="n"/>
      <c r="B237" s="27" t="n"/>
      <c r="C237" s="27" t="n"/>
      <c r="D237" s="28" t="n"/>
      <c r="E237" s="28" t="n"/>
      <c r="F237" s="29" t="n"/>
      <c r="G237" s="30" t="n"/>
      <c r="H237" s="20">
        <f>IF(A237="","",TRIM(IF(WEEKDAY(A237,2)&gt;5,"Fin de semana. ","")&amp;IF(SUMIFS($G$2:$G$601,$A$2:$A$601,A237,$D$2:$D$601,D237)&gt;9,"Más de 9 h en el día. ","")&amp;IF(AND(B237&lt;&gt;"",C237&lt;&gt;"",C237&lt;B237),"Cruza la medianoche. ","")&amp;IF(LEN(TRIM(F237))&lt;15,"Sin descripción suficiente. ","")&amp;IF(AND(ISERROR(SEARCH("R-0",F237)),ISERROR(SEARCH("CU-",F237))),"Sin ticket. ","")&amp;IF(ISNA(MATCH(E237,Datos!$E$8:$E$22,0)),"Proyecto sin valor hora. ","")&amp;IF(ISNA(MATCH(D237,Datos!$A$8:$A$22,0)),"Persona fuera del equipo. ","")))</f>
        <v/>
      </c>
      <c r="I237" s="21" t="n"/>
      <c r="J237" s="22" t="n"/>
      <c r="K237" s="23">
        <f>IF(G237="","",IF(J237&lt;&gt;"",MIN(J237,G237),IF(OR(I237="Observada",I237="Rechazada"),0,G237)))</f>
        <v/>
      </c>
      <c r="L237" s="24" t="n"/>
      <c r="M237" s="25">
        <f>IF(OR(A237="",D237=""),0,IF(COUNTIFS($A$2:A237,A237,$D$2:D237,D237)=1,1,0))</f>
        <v/>
      </c>
    </row>
    <row r="238">
      <c r="A238" s="26" t="n"/>
      <c r="B238" s="27" t="n"/>
      <c r="C238" s="27" t="n"/>
      <c r="D238" s="28" t="n"/>
      <c r="E238" s="28" t="n"/>
      <c r="F238" s="29" t="n"/>
      <c r="G238" s="30" t="n"/>
      <c r="H238" s="20">
        <f>IF(A238="","",TRIM(IF(WEEKDAY(A238,2)&gt;5,"Fin de semana. ","")&amp;IF(SUMIFS($G$2:$G$601,$A$2:$A$601,A238,$D$2:$D$601,D238)&gt;9,"Más de 9 h en el día. ","")&amp;IF(AND(B238&lt;&gt;"",C238&lt;&gt;"",C238&lt;B238),"Cruza la medianoche. ","")&amp;IF(LEN(TRIM(F238))&lt;15,"Sin descripción suficiente. ","")&amp;IF(AND(ISERROR(SEARCH("R-0",F238)),ISERROR(SEARCH("CU-",F238))),"Sin ticket. ","")&amp;IF(ISNA(MATCH(E238,Datos!$E$8:$E$22,0)),"Proyecto sin valor hora. ","")&amp;IF(ISNA(MATCH(D238,Datos!$A$8:$A$22,0)),"Persona fuera del equipo. ","")))</f>
        <v/>
      </c>
      <c r="I238" s="21" t="n"/>
      <c r="J238" s="22" t="n"/>
      <c r="K238" s="23">
        <f>IF(G238="","",IF(J238&lt;&gt;"",MIN(J238,G238),IF(OR(I238="Observada",I238="Rechazada"),0,G238)))</f>
        <v/>
      </c>
      <c r="L238" s="24" t="n"/>
      <c r="M238" s="25">
        <f>IF(OR(A238="",D238=""),0,IF(COUNTIFS($A$2:A238,A238,$D$2:D238,D238)=1,1,0))</f>
        <v/>
      </c>
    </row>
    <row r="239">
      <c r="A239" s="26" t="n"/>
      <c r="B239" s="27" t="n"/>
      <c r="C239" s="27" t="n"/>
      <c r="D239" s="28" t="n"/>
      <c r="E239" s="28" t="n"/>
      <c r="F239" s="29" t="n"/>
      <c r="G239" s="30" t="n"/>
      <c r="H239" s="20">
        <f>IF(A239="","",TRIM(IF(WEEKDAY(A239,2)&gt;5,"Fin de semana. ","")&amp;IF(SUMIFS($G$2:$G$601,$A$2:$A$601,A239,$D$2:$D$601,D239)&gt;9,"Más de 9 h en el día. ","")&amp;IF(AND(B239&lt;&gt;"",C239&lt;&gt;"",C239&lt;B239),"Cruza la medianoche. ","")&amp;IF(LEN(TRIM(F239))&lt;15,"Sin descripción suficiente. ","")&amp;IF(AND(ISERROR(SEARCH("R-0",F239)),ISERROR(SEARCH("CU-",F239))),"Sin ticket. ","")&amp;IF(ISNA(MATCH(E239,Datos!$E$8:$E$22,0)),"Proyecto sin valor hora. ","")&amp;IF(ISNA(MATCH(D239,Datos!$A$8:$A$22,0)),"Persona fuera del equipo. ","")))</f>
        <v/>
      </c>
      <c r="I239" s="21" t="n"/>
      <c r="J239" s="22" t="n"/>
      <c r="K239" s="23">
        <f>IF(G239="","",IF(J239&lt;&gt;"",MIN(J239,G239),IF(OR(I239="Observada",I239="Rechazada"),0,G239)))</f>
        <v/>
      </c>
      <c r="L239" s="24" t="n"/>
      <c r="M239" s="25">
        <f>IF(OR(A239="",D239=""),0,IF(COUNTIFS($A$2:A239,A239,$D$2:D239,D239)=1,1,0))</f>
        <v/>
      </c>
    </row>
    <row r="240">
      <c r="A240" s="26" t="n"/>
      <c r="B240" s="27" t="n"/>
      <c r="C240" s="27" t="n"/>
      <c r="D240" s="28" t="n"/>
      <c r="E240" s="28" t="n"/>
      <c r="F240" s="29" t="n"/>
      <c r="G240" s="30" t="n"/>
      <c r="H240" s="20">
        <f>IF(A240="","",TRIM(IF(WEEKDAY(A240,2)&gt;5,"Fin de semana. ","")&amp;IF(SUMIFS($G$2:$G$601,$A$2:$A$601,A240,$D$2:$D$601,D240)&gt;9,"Más de 9 h en el día. ","")&amp;IF(AND(B240&lt;&gt;"",C240&lt;&gt;"",C240&lt;B240),"Cruza la medianoche. ","")&amp;IF(LEN(TRIM(F240))&lt;15,"Sin descripción suficiente. ","")&amp;IF(AND(ISERROR(SEARCH("R-0",F240)),ISERROR(SEARCH("CU-",F240))),"Sin ticket. ","")&amp;IF(ISNA(MATCH(E240,Datos!$E$8:$E$22,0)),"Proyecto sin valor hora. ","")&amp;IF(ISNA(MATCH(D240,Datos!$A$8:$A$22,0)),"Persona fuera del equipo. ","")))</f>
        <v/>
      </c>
      <c r="I240" s="21" t="n"/>
      <c r="J240" s="22" t="n"/>
      <c r="K240" s="23">
        <f>IF(G240="","",IF(J240&lt;&gt;"",MIN(J240,G240),IF(OR(I240="Observada",I240="Rechazada"),0,G240)))</f>
        <v/>
      </c>
      <c r="L240" s="24" t="n"/>
      <c r="M240" s="25">
        <f>IF(OR(A240="",D240=""),0,IF(COUNTIFS($A$2:A240,A240,$D$2:D240,D240)=1,1,0))</f>
        <v/>
      </c>
    </row>
    <row r="241">
      <c r="A241" s="26" t="n"/>
      <c r="B241" s="27" t="n"/>
      <c r="C241" s="27" t="n"/>
      <c r="D241" s="28" t="n"/>
      <c r="E241" s="28" t="n"/>
      <c r="F241" s="29" t="n"/>
      <c r="G241" s="30" t="n"/>
      <c r="H241" s="20">
        <f>IF(A241="","",TRIM(IF(WEEKDAY(A241,2)&gt;5,"Fin de semana. ","")&amp;IF(SUMIFS($G$2:$G$601,$A$2:$A$601,A241,$D$2:$D$601,D241)&gt;9,"Más de 9 h en el día. ","")&amp;IF(AND(B241&lt;&gt;"",C241&lt;&gt;"",C241&lt;B241),"Cruza la medianoche. ","")&amp;IF(LEN(TRIM(F241))&lt;15,"Sin descripción suficiente. ","")&amp;IF(AND(ISERROR(SEARCH("R-0",F241)),ISERROR(SEARCH("CU-",F241))),"Sin ticket. ","")&amp;IF(ISNA(MATCH(E241,Datos!$E$8:$E$22,0)),"Proyecto sin valor hora. ","")&amp;IF(ISNA(MATCH(D241,Datos!$A$8:$A$22,0)),"Persona fuera del equipo. ","")))</f>
        <v/>
      </c>
      <c r="I241" s="21" t="n"/>
      <c r="J241" s="22" t="n"/>
      <c r="K241" s="23">
        <f>IF(G241="","",IF(J241&lt;&gt;"",MIN(J241,G241),IF(OR(I241="Observada",I241="Rechazada"),0,G241)))</f>
        <v/>
      </c>
      <c r="L241" s="24" t="n"/>
      <c r="M241" s="25">
        <f>IF(OR(A241="",D241=""),0,IF(COUNTIFS($A$2:A241,A241,$D$2:D241,D241)=1,1,0))</f>
        <v/>
      </c>
    </row>
    <row r="242">
      <c r="A242" s="26" t="n"/>
      <c r="B242" s="27" t="n"/>
      <c r="C242" s="27" t="n"/>
      <c r="D242" s="28" t="n"/>
      <c r="E242" s="28" t="n"/>
      <c r="F242" s="29" t="n"/>
      <c r="G242" s="30" t="n"/>
      <c r="H242" s="20">
        <f>IF(A242="","",TRIM(IF(WEEKDAY(A242,2)&gt;5,"Fin de semana. ","")&amp;IF(SUMIFS($G$2:$G$601,$A$2:$A$601,A242,$D$2:$D$601,D242)&gt;9,"Más de 9 h en el día. ","")&amp;IF(AND(B242&lt;&gt;"",C242&lt;&gt;"",C242&lt;B242),"Cruza la medianoche. ","")&amp;IF(LEN(TRIM(F242))&lt;15,"Sin descripción suficiente. ","")&amp;IF(AND(ISERROR(SEARCH("R-0",F242)),ISERROR(SEARCH("CU-",F242))),"Sin ticket. ","")&amp;IF(ISNA(MATCH(E242,Datos!$E$8:$E$22,0)),"Proyecto sin valor hora. ","")&amp;IF(ISNA(MATCH(D242,Datos!$A$8:$A$22,0)),"Persona fuera del equipo. ","")))</f>
        <v/>
      </c>
      <c r="I242" s="21" t="n"/>
      <c r="J242" s="22" t="n"/>
      <c r="K242" s="23">
        <f>IF(G242="","",IF(J242&lt;&gt;"",MIN(J242,G242),IF(OR(I242="Observada",I242="Rechazada"),0,G242)))</f>
        <v/>
      </c>
      <c r="L242" s="24" t="n"/>
      <c r="M242" s="25">
        <f>IF(OR(A242="",D242=""),0,IF(COUNTIFS($A$2:A242,A242,$D$2:D242,D242)=1,1,0))</f>
        <v/>
      </c>
    </row>
    <row r="243">
      <c r="A243" s="26" t="n"/>
      <c r="B243" s="27" t="n"/>
      <c r="C243" s="27" t="n"/>
      <c r="D243" s="28" t="n"/>
      <c r="E243" s="28" t="n"/>
      <c r="F243" s="29" t="n"/>
      <c r="G243" s="30" t="n"/>
      <c r="H243" s="20">
        <f>IF(A243="","",TRIM(IF(WEEKDAY(A243,2)&gt;5,"Fin de semana. ","")&amp;IF(SUMIFS($G$2:$G$601,$A$2:$A$601,A243,$D$2:$D$601,D243)&gt;9,"Más de 9 h en el día. ","")&amp;IF(AND(B243&lt;&gt;"",C243&lt;&gt;"",C243&lt;B243),"Cruza la medianoche. ","")&amp;IF(LEN(TRIM(F243))&lt;15,"Sin descripción suficiente. ","")&amp;IF(AND(ISERROR(SEARCH("R-0",F243)),ISERROR(SEARCH("CU-",F243))),"Sin ticket. ","")&amp;IF(ISNA(MATCH(E243,Datos!$E$8:$E$22,0)),"Proyecto sin valor hora. ","")&amp;IF(ISNA(MATCH(D243,Datos!$A$8:$A$22,0)),"Persona fuera del equipo. ","")))</f>
        <v/>
      </c>
      <c r="I243" s="21" t="n"/>
      <c r="J243" s="22" t="n"/>
      <c r="K243" s="23">
        <f>IF(G243="","",IF(J243&lt;&gt;"",MIN(J243,G243),IF(OR(I243="Observada",I243="Rechazada"),0,G243)))</f>
        <v/>
      </c>
      <c r="L243" s="24" t="n"/>
      <c r="M243" s="25">
        <f>IF(OR(A243="",D243=""),0,IF(COUNTIFS($A$2:A243,A243,$D$2:D243,D243)=1,1,0))</f>
        <v/>
      </c>
    </row>
    <row r="244">
      <c r="A244" s="26" t="n"/>
      <c r="B244" s="27" t="n"/>
      <c r="C244" s="27" t="n"/>
      <c r="D244" s="28" t="n"/>
      <c r="E244" s="28" t="n"/>
      <c r="F244" s="29" t="n"/>
      <c r="G244" s="30" t="n"/>
      <c r="H244" s="20">
        <f>IF(A244="","",TRIM(IF(WEEKDAY(A244,2)&gt;5,"Fin de semana. ","")&amp;IF(SUMIFS($G$2:$G$601,$A$2:$A$601,A244,$D$2:$D$601,D244)&gt;9,"Más de 9 h en el día. ","")&amp;IF(AND(B244&lt;&gt;"",C244&lt;&gt;"",C244&lt;B244),"Cruza la medianoche. ","")&amp;IF(LEN(TRIM(F244))&lt;15,"Sin descripción suficiente. ","")&amp;IF(AND(ISERROR(SEARCH("R-0",F244)),ISERROR(SEARCH("CU-",F244))),"Sin ticket. ","")&amp;IF(ISNA(MATCH(E244,Datos!$E$8:$E$22,0)),"Proyecto sin valor hora. ","")&amp;IF(ISNA(MATCH(D244,Datos!$A$8:$A$22,0)),"Persona fuera del equipo. ","")))</f>
        <v/>
      </c>
      <c r="I244" s="21" t="n"/>
      <c r="J244" s="22" t="n"/>
      <c r="K244" s="23">
        <f>IF(G244="","",IF(J244&lt;&gt;"",MIN(J244,G244),IF(OR(I244="Observada",I244="Rechazada"),0,G244)))</f>
        <v/>
      </c>
      <c r="L244" s="24" t="n"/>
      <c r="M244" s="25">
        <f>IF(OR(A244="",D244=""),0,IF(COUNTIFS($A$2:A244,A244,$D$2:D244,D244)=1,1,0))</f>
        <v/>
      </c>
    </row>
    <row r="245">
      <c r="A245" s="26" t="n"/>
      <c r="B245" s="27" t="n"/>
      <c r="C245" s="27" t="n"/>
      <c r="D245" s="28" t="n"/>
      <c r="E245" s="28" t="n"/>
      <c r="F245" s="29" t="n"/>
      <c r="G245" s="30" t="n"/>
      <c r="H245" s="20">
        <f>IF(A245="","",TRIM(IF(WEEKDAY(A245,2)&gt;5,"Fin de semana. ","")&amp;IF(SUMIFS($G$2:$G$601,$A$2:$A$601,A245,$D$2:$D$601,D245)&gt;9,"Más de 9 h en el día. ","")&amp;IF(AND(B245&lt;&gt;"",C245&lt;&gt;"",C245&lt;B245),"Cruza la medianoche. ","")&amp;IF(LEN(TRIM(F245))&lt;15,"Sin descripción suficiente. ","")&amp;IF(AND(ISERROR(SEARCH("R-0",F245)),ISERROR(SEARCH("CU-",F245))),"Sin ticket. ","")&amp;IF(ISNA(MATCH(E245,Datos!$E$8:$E$22,0)),"Proyecto sin valor hora. ","")&amp;IF(ISNA(MATCH(D245,Datos!$A$8:$A$22,0)),"Persona fuera del equipo. ","")))</f>
        <v/>
      </c>
      <c r="I245" s="21" t="n"/>
      <c r="J245" s="22" t="n"/>
      <c r="K245" s="23">
        <f>IF(G245="","",IF(J245&lt;&gt;"",MIN(J245,G245),IF(OR(I245="Observada",I245="Rechazada"),0,G245)))</f>
        <v/>
      </c>
      <c r="L245" s="24" t="n"/>
      <c r="M245" s="25">
        <f>IF(OR(A245="",D245=""),0,IF(COUNTIFS($A$2:A245,A245,$D$2:D245,D245)=1,1,0))</f>
        <v/>
      </c>
    </row>
    <row r="246">
      <c r="A246" s="26" t="n"/>
      <c r="B246" s="27" t="n"/>
      <c r="C246" s="27" t="n"/>
      <c r="D246" s="28" t="n"/>
      <c r="E246" s="28" t="n"/>
      <c r="F246" s="29" t="n"/>
      <c r="G246" s="30" t="n"/>
      <c r="H246" s="20">
        <f>IF(A246="","",TRIM(IF(WEEKDAY(A246,2)&gt;5,"Fin de semana. ","")&amp;IF(SUMIFS($G$2:$G$601,$A$2:$A$601,A246,$D$2:$D$601,D246)&gt;9,"Más de 9 h en el día. ","")&amp;IF(AND(B246&lt;&gt;"",C246&lt;&gt;"",C246&lt;B246),"Cruza la medianoche. ","")&amp;IF(LEN(TRIM(F246))&lt;15,"Sin descripción suficiente. ","")&amp;IF(AND(ISERROR(SEARCH("R-0",F246)),ISERROR(SEARCH("CU-",F246))),"Sin ticket. ","")&amp;IF(ISNA(MATCH(E246,Datos!$E$8:$E$22,0)),"Proyecto sin valor hora. ","")&amp;IF(ISNA(MATCH(D246,Datos!$A$8:$A$22,0)),"Persona fuera del equipo. ","")))</f>
        <v/>
      </c>
      <c r="I246" s="21" t="n"/>
      <c r="J246" s="22" t="n"/>
      <c r="K246" s="23">
        <f>IF(G246="","",IF(J246&lt;&gt;"",MIN(J246,G246),IF(OR(I246="Observada",I246="Rechazada"),0,G246)))</f>
        <v/>
      </c>
      <c r="L246" s="24" t="n"/>
      <c r="M246" s="25">
        <f>IF(OR(A246="",D246=""),0,IF(COUNTIFS($A$2:A246,A246,$D$2:D246,D246)=1,1,0))</f>
        <v/>
      </c>
    </row>
    <row r="247">
      <c r="A247" s="26" t="n"/>
      <c r="B247" s="27" t="n"/>
      <c r="C247" s="27" t="n"/>
      <c r="D247" s="28" t="n"/>
      <c r="E247" s="28" t="n"/>
      <c r="F247" s="29" t="n"/>
      <c r="G247" s="30" t="n"/>
      <c r="H247" s="20">
        <f>IF(A247="","",TRIM(IF(WEEKDAY(A247,2)&gt;5,"Fin de semana. ","")&amp;IF(SUMIFS($G$2:$G$601,$A$2:$A$601,A247,$D$2:$D$601,D247)&gt;9,"Más de 9 h en el día. ","")&amp;IF(AND(B247&lt;&gt;"",C247&lt;&gt;"",C247&lt;B247),"Cruza la medianoche. ","")&amp;IF(LEN(TRIM(F247))&lt;15,"Sin descripción suficiente. ","")&amp;IF(AND(ISERROR(SEARCH("R-0",F247)),ISERROR(SEARCH("CU-",F247))),"Sin ticket. ","")&amp;IF(ISNA(MATCH(E247,Datos!$E$8:$E$22,0)),"Proyecto sin valor hora. ","")&amp;IF(ISNA(MATCH(D247,Datos!$A$8:$A$22,0)),"Persona fuera del equipo. ","")))</f>
        <v/>
      </c>
      <c r="I247" s="21" t="n"/>
      <c r="J247" s="22" t="n"/>
      <c r="K247" s="23">
        <f>IF(G247="","",IF(J247&lt;&gt;"",MIN(J247,G247),IF(OR(I247="Observada",I247="Rechazada"),0,G247)))</f>
        <v/>
      </c>
      <c r="L247" s="24" t="n"/>
      <c r="M247" s="25">
        <f>IF(OR(A247="",D247=""),0,IF(COUNTIFS($A$2:A247,A247,$D$2:D247,D247)=1,1,0))</f>
        <v/>
      </c>
    </row>
    <row r="248">
      <c r="A248" s="26" t="n"/>
      <c r="B248" s="27" t="n"/>
      <c r="C248" s="27" t="n"/>
      <c r="D248" s="28" t="n"/>
      <c r="E248" s="28" t="n"/>
      <c r="F248" s="29" t="n"/>
      <c r="G248" s="30" t="n"/>
      <c r="H248" s="20">
        <f>IF(A248="","",TRIM(IF(WEEKDAY(A248,2)&gt;5,"Fin de semana. ","")&amp;IF(SUMIFS($G$2:$G$601,$A$2:$A$601,A248,$D$2:$D$601,D248)&gt;9,"Más de 9 h en el día. ","")&amp;IF(AND(B248&lt;&gt;"",C248&lt;&gt;"",C248&lt;B248),"Cruza la medianoche. ","")&amp;IF(LEN(TRIM(F248))&lt;15,"Sin descripción suficiente. ","")&amp;IF(AND(ISERROR(SEARCH("R-0",F248)),ISERROR(SEARCH("CU-",F248))),"Sin ticket. ","")&amp;IF(ISNA(MATCH(E248,Datos!$E$8:$E$22,0)),"Proyecto sin valor hora. ","")&amp;IF(ISNA(MATCH(D248,Datos!$A$8:$A$22,0)),"Persona fuera del equipo. ","")))</f>
        <v/>
      </c>
      <c r="I248" s="21" t="n"/>
      <c r="J248" s="22" t="n"/>
      <c r="K248" s="23">
        <f>IF(G248="","",IF(J248&lt;&gt;"",MIN(J248,G248),IF(OR(I248="Observada",I248="Rechazada"),0,G248)))</f>
        <v/>
      </c>
      <c r="L248" s="24" t="n"/>
      <c r="M248" s="25">
        <f>IF(OR(A248="",D248=""),0,IF(COUNTIFS($A$2:A248,A248,$D$2:D248,D248)=1,1,0))</f>
        <v/>
      </c>
    </row>
    <row r="249">
      <c r="A249" s="26" t="n"/>
      <c r="B249" s="27" t="n"/>
      <c r="C249" s="27" t="n"/>
      <c r="D249" s="28" t="n"/>
      <c r="E249" s="28" t="n"/>
      <c r="F249" s="29" t="n"/>
      <c r="G249" s="30" t="n"/>
      <c r="H249" s="20">
        <f>IF(A249="","",TRIM(IF(WEEKDAY(A249,2)&gt;5,"Fin de semana. ","")&amp;IF(SUMIFS($G$2:$G$601,$A$2:$A$601,A249,$D$2:$D$601,D249)&gt;9,"Más de 9 h en el día. ","")&amp;IF(AND(B249&lt;&gt;"",C249&lt;&gt;"",C249&lt;B249),"Cruza la medianoche. ","")&amp;IF(LEN(TRIM(F249))&lt;15,"Sin descripción suficiente. ","")&amp;IF(AND(ISERROR(SEARCH("R-0",F249)),ISERROR(SEARCH("CU-",F249))),"Sin ticket. ","")&amp;IF(ISNA(MATCH(E249,Datos!$E$8:$E$22,0)),"Proyecto sin valor hora. ","")&amp;IF(ISNA(MATCH(D249,Datos!$A$8:$A$22,0)),"Persona fuera del equipo. ","")))</f>
        <v/>
      </c>
      <c r="I249" s="21" t="n"/>
      <c r="J249" s="22" t="n"/>
      <c r="K249" s="23">
        <f>IF(G249="","",IF(J249&lt;&gt;"",MIN(J249,G249),IF(OR(I249="Observada",I249="Rechazada"),0,G249)))</f>
        <v/>
      </c>
      <c r="L249" s="24" t="n"/>
      <c r="M249" s="25">
        <f>IF(OR(A249="",D249=""),0,IF(COUNTIFS($A$2:A249,A249,$D$2:D249,D249)=1,1,0))</f>
        <v/>
      </c>
    </row>
    <row r="250">
      <c r="A250" s="26" t="n"/>
      <c r="B250" s="27" t="n"/>
      <c r="C250" s="27" t="n"/>
      <c r="D250" s="28" t="n"/>
      <c r="E250" s="28" t="n"/>
      <c r="F250" s="29" t="n"/>
      <c r="G250" s="30" t="n"/>
      <c r="H250" s="20">
        <f>IF(A250="","",TRIM(IF(WEEKDAY(A250,2)&gt;5,"Fin de semana. ","")&amp;IF(SUMIFS($G$2:$G$601,$A$2:$A$601,A250,$D$2:$D$601,D250)&gt;9,"Más de 9 h en el día. ","")&amp;IF(AND(B250&lt;&gt;"",C250&lt;&gt;"",C250&lt;B250),"Cruza la medianoche. ","")&amp;IF(LEN(TRIM(F250))&lt;15,"Sin descripción suficiente. ","")&amp;IF(AND(ISERROR(SEARCH("R-0",F250)),ISERROR(SEARCH("CU-",F250))),"Sin ticket. ","")&amp;IF(ISNA(MATCH(E250,Datos!$E$8:$E$22,0)),"Proyecto sin valor hora. ","")&amp;IF(ISNA(MATCH(D250,Datos!$A$8:$A$22,0)),"Persona fuera del equipo. ","")))</f>
        <v/>
      </c>
      <c r="I250" s="21" t="n"/>
      <c r="J250" s="22" t="n"/>
      <c r="K250" s="23">
        <f>IF(G250="","",IF(J250&lt;&gt;"",MIN(J250,G250),IF(OR(I250="Observada",I250="Rechazada"),0,G250)))</f>
        <v/>
      </c>
      <c r="L250" s="24" t="n"/>
      <c r="M250" s="25">
        <f>IF(OR(A250="",D250=""),0,IF(COUNTIFS($A$2:A250,A250,$D$2:D250,D250)=1,1,0))</f>
        <v/>
      </c>
    </row>
    <row r="251">
      <c r="A251" s="26" t="n"/>
      <c r="B251" s="27" t="n"/>
      <c r="C251" s="27" t="n"/>
      <c r="D251" s="28" t="n"/>
      <c r="E251" s="28" t="n"/>
      <c r="F251" s="29" t="n"/>
      <c r="G251" s="30" t="n"/>
      <c r="H251" s="20">
        <f>IF(A251="","",TRIM(IF(WEEKDAY(A251,2)&gt;5,"Fin de semana. ","")&amp;IF(SUMIFS($G$2:$G$601,$A$2:$A$601,A251,$D$2:$D$601,D251)&gt;9,"Más de 9 h en el día. ","")&amp;IF(AND(B251&lt;&gt;"",C251&lt;&gt;"",C251&lt;B251),"Cruza la medianoche. ","")&amp;IF(LEN(TRIM(F251))&lt;15,"Sin descripción suficiente. ","")&amp;IF(AND(ISERROR(SEARCH("R-0",F251)),ISERROR(SEARCH("CU-",F251))),"Sin ticket. ","")&amp;IF(ISNA(MATCH(E251,Datos!$E$8:$E$22,0)),"Proyecto sin valor hora. ","")&amp;IF(ISNA(MATCH(D251,Datos!$A$8:$A$22,0)),"Persona fuera del equipo. ","")))</f>
        <v/>
      </c>
      <c r="I251" s="21" t="n"/>
      <c r="J251" s="22" t="n"/>
      <c r="K251" s="23">
        <f>IF(G251="","",IF(J251&lt;&gt;"",MIN(J251,G251),IF(OR(I251="Observada",I251="Rechazada"),0,G251)))</f>
        <v/>
      </c>
      <c r="L251" s="24" t="n"/>
      <c r="M251" s="25">
        <f>IF(OR(A251="",D251=""),0,IF(COUNTIFS($A$2:A251,A251,$D$2:D251,D251)=1,1,0))</f>
        <v/>
      </c>
    </row>
    <row r="252">
      <c r="A252" s="26" t="n"/>
      <c r="B252" s="27" t="n"/>
      <c r="C252" s="27" t="n"/>
      <c r="D252" s="28" t="n"/>
      <c r="E252" s="28" t="n"/>
      <c r="F252" s="29" t="n"/>
      <c r="G252" s="30" t="n"/>
      <c r="H252" s="20">
        <f>IF(A252="","",TRIM(IF(WEEKDAY(A252,2)&gt;5,"Fin de semana. ","")&amp;IF(SUMIFS($G$2:$G$601,$A$2:$A$601,A252,$D$2:$D$601,D252)&gt;9,"Más de 9 h en el día. ","")&amp;IF(AND(B252&lt;&gt;"",C252&lt;&gt;"",C252&lt;B252),"Cruza la medianoche. ","")&amp;IF(LEN(TRIM(F252))&lt;15,"Sin descripción suficiente. ","")&amp;IF(AND(ISERROR(SEARCH("R-0",F252)),ISERROR(SEARCH("CU-",F252))),"Sin ticket. ","")&amp;IF(ISNA(MATCH(E252,Datos!$E$8:$E$22,0)),"Proyecto sin valor hora. ","")&amp;IF(ISNA(MATCH(D252,Datos!$A$8:$A$22,0)),"Persona fuera del equipo. ","")))</f>
        <v/>
      </c>
      <c r="I252" s="21" t="n"/>
      <c r="J252" s="22" t="n"/>
      <c r="K252" s="23">
        <f>IF(G252="","",IF(J252&lt;&gt;"",MIN(J252,G252),IF(OR(I252="Observada",I252="Rechazada"),0,G252)))</f>
        <v/>
      </c>
      <c r="L252" s="24" t="n"/>
      <c r="M252" s="25">
        <f>IF(OR(A252="",D252=""),0,IF(COUNTIFS($A$2:A252,A252,$D$2:D252,D252)=1,1,0))</f>
        <v/>
      </c>
    </row>
    <row r="253">
      <c r="A253" s="26" t="n"/>
      <c r="B253" s="27" t="n"/>
      <c r="C253" s="27" t="n"/>
      <c r="D253" s="28" t="n"/>
      <c r="E253" s="28" t="n"/>
      <c r="F253" s="29" t="n"/>
      <c r="G253" s="30" t="n"/>
      <c r="H253" s="20">
        <f>IF(A253="","",TRIM(IF(WEEKDAY(A253,2)&gt;5,"Fin de semana. ","")&amp;IF(SUMIFS($G$2:$G$601,$A$2:$A$601,A253,$D$2:$D$601,D253)&gt;9,"Más de 9 h en el día. ","")&amp;IF(AND(B253&lt;&gt;"",C253&lt;&gt;"",C253&lt;B253),"Cruza la medianoche. ","")&amp;IF(LEN(TRIM(F253))&lt;15,"Sin descripción suficiente. ","")&amp;IF(AND(ISERROR(SEARCH("R-0",F253)),ISERROR(SEARCH("CU-",F253))),"Sin ticket. ","")&amp;IF(ISNA(MATCH(E253,Datos!$E$8:$E$22,0)),"Proyecto sin valor hora. ","")&amp;IF(ISNA(MATCH(D253,Datos!$A$8:$A$22,0)),"Persona fuera del equipo. ","")))</f>
        <v/>
      </c>
      <c r="I253" s="21" t="n"/>
      <c r="J253" s="22" t="n"/>
      <c r="K253" s="23">
        <f>IF(G253="","",IF(J253&lt;&gt;"",MIN(J253,G253),IF(OR(I253="Observada",I253="Rechazada"),0,G253)))</f>
        <v/>
      </c>
      <c r="L253" s="24" t="n"/>
      <c r="M253" s="25">
        <f>IF(OR(A253="",D253=""),0,IF(COUNTIFS($A$2:A253,A253,$D$2:D253,D253)=1,1,0))</f>
        <v/>
      </c>
    </row>
    <row r="254">
      <c r="A254" s="26" t="n"/>
      <c r="B254" s="27" t="n"/>
      <c r="C254" s="27" t="n"/>
      <c r="D254" s="28" t="n"/>
      <c r="E254" s="28" t="n"/>
      <c r="F254" s="29" t="n"/>
      <c r="G254" s="30" t="n"/>
      <c r="H254" s="20">
        <f>IF(A254="","",TRIM(IF(WEEKDAY(A254,2)&gt;5,"Fin de semana. ","")&amp;IF(SUMIFS($G$2:$G$601,$A$2:$A$601,A254,$D$2:$D$601,D254)&gt;9,"Más de 9 h en el día. ","")&amp;IF(AND(B254&lt;&gt;"",C254&lt;&gt;"",C254&lt;B254),"Cruza la medianoche. ","")&amp;IF(LEN(TRIM(F254))&lt;15,"Sin descripción suficiente. ","")&amp;IF(AND(ISERROR(SEARCH("R-0",F254)),ISERROR(SEARCH("CU-",F254))),"Sin ticket. ","")&amp;IF(ISNA(MATCH(E254,Datos!$E$8:$E$22,0)),"Proyecto sin valor hora. ","")&amp;IF(ISNA(MATCH(D254,Datos!$A$8:$A$22,0)),"Persona fuera del equipo. ","")))</f>
        <v/>
      </c>
      <c r="I254" s="21" t="n"/>
      <c r="J254" s="22" t="n"/>
      <c r="K254" s="23">
        <f>IF(G254="","",IF(J254&lt;&gt;"",MIN(J254,G254),IF(OR(I254="Observada",I254="Rechazada"),0,G254)))</f>
        <v/>
      </c>
      <c r="L254" s="24" t="n"/>
      <c r="M254" s="25">
        <f>IF(OR(A254="",D254=""),0,IF(COUNTIFS($A$2:A254,A254,$D$2:D254,D254)=1,1,0))</f>
        <v/>
      </c>
    </row>
    <row r="255">
      <c r="A255" s="26" t="n"/>
      <c r="B255" s="27" t="n"/>
      <c r="C255" s="27" t="n"/>
      <c r="D255" s="28" t="n"/>
      <c r="E255" s="28" t="n"/>
      <c r="F255" s="29" t="n"/>
      <c r="G255" s="30" t="n"/>
      <c r="H255" s="20">
        <f>IF(A255="","",TRIM(IF(WEEKDAY(A255,2)&gt;5,"Fin de semana. ","")&amp;IF(SUMIFS($G$2:$G$601,$A$2:$A$601,A255,$D$2:$D$601,D255)&gt;9,"Más de 9 h en el día. ","")&amp;IF(AND(B255&lt;&gt;"",C255&lt;&gt;"",C255&lt;B255),"Cruza la medianoche. ","")&amp;IF(LEN(TRIM(F255))&lt;15,"Sin descripción suficiente. ","")&amp;IF(AND(ISERROR(SEARCH("R-0",F255)),ISERROR(SEARCH("CU-",F255))),"Sin ticket. ","")&amp;IF(ISNA(MATCH(E255,Datos!$E$8:$E$22,0)),"Proyecto sin valor hora. ","")&amp;IF(ISNA(MATCH(D255,Datos!$A$8:$A$22,0)),"Persona fuera del equipo. ","")))</f>
        <v/>
      </c>
      <c r="I255" s="21" t="n"/>
      <c r="J255" s="22" t="n"/>
      <c r="K255" s="23">
        <f>IF(G255="","",IF(J255&lt;&gt;"",MIN(J255,G255),IF(OR(I255="Observada",I255="Rechazada"),0,G255)))</f>
        <v/>
      </c>
      <c r="L255" s="24" t="n"/>
      <c r="M255" s="25">
        <f>IF(OR(A255="",D255=""),0,IF(COUNTIFS($A$2:A255,A255,$D$2:D255,D255)=1,1,0))</f>
        <v/>
      </c>
    </row>
    <row r="256">
      <c r="A256" s="26" t="n"/>
      <c r="B256" s="27" t="n"/>
      <c r="C256" s="27" t="n"/>
      <c r="D256" s="28" t="n"/>
      <c r="E256" s="28" t="n"/>
      <c r="F256" s="29" t="n"/>
      <c r="G256" s="30" t="n"/>
      <c r="H256" s="20">
        <f>IF(A256="","",TRIM(IF(WEEKDAY(A256,2)&gt;5,"Fin de semana. ","")&amp;IF(SUMIFS($G$2:$G$601,$A$2:$A$601,A256,$D$2:$D$601,D256)&gt;9,"Más de 9 h en el día. ","")&amp;IF(AND(B256&lt;&gt;"",C256&lt;&gt;"",C256&lt;B256),"Cruza la medianoche. ","")&amp;IF(LEN(TRIM(F256))&lt;15,"Sin descripción suficiente. ","")&amp;IF(AND(ISERROR(SEARCH("R-0",F256)),ISERROR(SEARCH("CU-",F256))),"Sin ticket. ","")&amp;IF(ISNA(MATCH(E256,Datos!$E$8:$E$22,0)),"Proyecto sin valor hora. ","")&amp;IF(ISNA(MATCH(D256,Datos!$A$8:$A$22,0)),"Persona fuera del equipo. ","")))</f>
        <v/>
      </c>
      <c r="I256" s="21" t="n"/>
      <c r="J256" s="22" t="n"/>
      <c r="K256" s="23">
        <f>IF(G256="","",IF(J256&lt;&gt;"",MIN(J256,G256),IF(OR(I256="Observada",I256="Rechazada"),0,G256)))</f>
        <v/>
      </c>
      <c r="L256" s="24" t="n"/>
      <c r="M256" s="25">
        <f>IF(OR(A256="",D256=""),0,IF(COUNTIFS($A$2:A256,A256,$D$2:D256,D256)=1,1,0))</f>
        <v/>
      </c>
    </row>
    <row r="257">
      <c r="A257" s="26" t="n"/>
      <c r="B257" s="27" t="n"/>
      <c r="C257" s="27" t="n"/>
      <c r="D257" s="28" t="n"/>
      <c r="E257" s="28" t="n"/>
      <c r="F257" s="29" t="n"/>
      <c r="G257" s="30" t="n"/>
      <c r="H257" s="20">
        <f>IF(A257="","",TRIM(IF(WEEKDAY(A257,2)&gt;5,"Fin de semana. ","")&amp;IF(SUMIFS($G$2:$G$601,$A$2:$A$601,A257,$D$2:$D$601,D257)&gt;9,"Más de 9 h en el día. ","")&amp;IF(AND(B257&lt;&gt;"",C257&lt;&gt;"",C257&lt;B257),"Cruza la medianoche. ","")&amp;IF(LEN(TRIM(F257))&lt;15,"Sin descripción suficiente. ","")&amp;IF(AND(ISERROR(SEARCH("R-0",F257)),ISERROR(SEARCH("CU-",F257))),"Sin ticket. ","")&amp;IF(ISNA(MATCH(E257,Datos!$E$8:$E$22,0)),"Proyecto sin valor hora. ","")&amp;IF(ISNA(MATCH(D257,Datos!$A$8:$A$22,0)),"Persona fuera del equipo. ","")))</f>
        <v/>
      </c>
      <c r="I257" s="21" t="n"/>
      <c r="J257" s="22" t="n"/>
      <c r="K257" s="23">
        <f>IF(G257="","",IF(J257&lt;&gt;"",MIN(J257,G257),IF(OR(I257="Observada",I257="Rechazada"),0,G257)))</f>
        <v/>
      </c>
      <c r="L257" s="24" t="n"/>
      <c r="M257" s="25">
        <f>IF(OR(A257="",D257=""),0,IF(COUNTIFS($A$2:A257,A257,$D$2:D257,D257)=1,1,0))</f>
        <v/>
      </c>
    </row>
    <row r="258">
      <c r="A258" s="26" t="n"/>
      <c r="B258" s="27" t="n"/>
      <c r="C258" s="27" t="n"/>
      <c r="D258" s="28" t="n"/>
      <c r="E258" s="28" t="n"/>
      <c r="F258" s="29" t="n"/>
      <c r="G258" s="30" t="n"/>
      <c r="H258" s="20">
        <f>IF(A258="","",TRIM(IF(WEEKDAY(A258,2)&gt;5,"Fin de semana. ","")&amp;IF(SUMIFS($G$2:$G$601,$A$2:$A$601,A258,$D$2:$D$601,D258)&gt;9,"Más de 9 h en el día. ","")&amp;IF(AND(B258&lt;&gt;"",C258&lt;&gt;"",C258&lt;B258),"Cruza la medianoche. ","")&amp;IF(LEN(TRIM(F258))&lt;15,"Sin descripción suficiente. ","")&amp;IF(AND(ISERROR(SEARCH("R-0",F258)),ISERROR(SEARCH("CU-",F258))),"Sin ticket. ","")&amp;IF(ISNA(MATCH(E258,Datos!$E$8:$E$22,0)),"Proyecto sin valor hora. ","")&amp;IF(ISNA(MATCH(D258,Datos!$A$8:$A$22,0)),"Persona fuera del equipo. ","")))</f>
        <v/>
      </c>
      <c r="I258" s="21" t="n"/>
      <c r="J258" s="22" t="n"/>
      <c r="K258" s="23">
        <f>IF(G258="","",IF(J258&lt;&gt;"",MIN(J258,G258),IF(OR(I258="Observada",I258="Rechazada"),0,G258)))</f>
        <v/>
      </c>
      <c r="L258" s="24" t="n"/>
      <c r="M258" s="25">
        <f>IF(OR(A258="",D258=""),0,IF(COUNTIFS($A$2:A258,A258,$D$2:D258,D258)=1,1,0))</f>
        <v/>
      </c>
    </row>
    <row r="259">
      <c r="A259" s="26" t="n"/>
      <c r="B259" s="27" t="n"/>
      <c r="C259" s="27" t="n"/>
      <c r="D259" s="28" t="n"/>
      <c r="E259" s="28" t="n"/>
      <c r="F259" s="29" t="n"/>
      <c r="G259" s="30" t="n"/>
      <c r="H259" s="20">
        <f>IF(A259="","",TRIM(IF(WEEKDAY(A259,2)&gt;5,"Fin de semana. ","")&amp;IF(SUMIFS($G$2:$G$601,$A$2:$A$601,A259,$D$2:$D$601,D259)&gt;9,"Más de 9 h en el día. ","")&amp;IF(AND(B259&lt;&gt;"",C259&lt;&gt;"",C259&lt;B259),"Cruza la medianoche. ","")&amp;IF(LEN(TRIM(F259))&lt;15,"Sin descripción suficiente. ","")&amp;IF(AND(ISERROR(SEARCH("R-0",F259)),ISERROR(SEARCH("CU-",F259))),"Sin ticket. ","")&amp;IF(ISNA(MATCH(E259,Datos!$E$8:$E$22,0)),"Proyecto sin valor hora. ","")&amp;IF(ISNA(MATCH(D259,Datos!$A$8:$A$22,0)),"Persona fuera del equipo. ","")))</f>
        <v/>
      </c>
      <c r="I259" s="21" t="n"/>
      <c r="J259" s="22" t="n"/>
      <c r="K259" s="23">
        <f>IF(G259="","",IF(J259&lt;&gt;"",MIN(J259,G259),IF(OR(I259="Observada",I259="Rechazada"),0,G259)))</f>
        <v/>
      </c>
      <c r="L259" s="24" t="n"/>
      <c r="M259" s="25">
        <f>IF(OR(A259="",D259=""),0,IF(COUNTIFS($A$2:A259,A259,$D$2:D259,D259)=1,1,0))</f>
        <v/>
      </c>
    </row>
    <row r="260">
      <c r="A260" s="26" t="n"/>
      <c r="B260" s="27" t="n"/>
      <c r="C260" s="27" t="n"/>
      <c r="D260" s="28" t="n"/>
      <c r="E260" s="28" t="n"/>
      <c r="F260" s="29" t="n"/>
      <c r="G260" s="30" t="n"/>
      <c r="H260" s="20">
        <f>IF(A260="","",TRIM(IF(WEEKDAY(A260,2)&gt;5,"Fin de semana. ","")&amp;IF(SUMIFS($G$2:$G$601,$A$2:$A$601,A260,$D$2:$D$601,D260)&gt;9,"Más de 9 h en el día. ","")&amp;IF(AND(B260&lt;&gt;"",C260&lt;&gt;"",C260&lt;B260),"Cruza la medianoche. ","")&amp;IF(LEN(TRIM(F260))&lt;15,"Sin descripción suficiente. ","")&amp;IF(AND(ISERROR(SEARCH("R-0",F260)),ISERROR(SEARCH("CU-",F260))),"Sin ticket. ","")&amp;IF(ISNA(MATCH(E260,Datos!$E$8:$E$22,0)),"Proyecto sin valor hora. ","")&amp;IF(ISNA(MATCH(D260,Datos!$A$8:$A$22,0)),"Persona fuera del equipo. ","")))</f>
        <v/>
      </c>
      <c r="I260" s="21" t="n"/>
      <c r="J260" s="22" t="n"/>
      <c r="K260" s="23">
        <f>IF(G260="","",IF(J260&lt;&gt;"",MIN(J260,G260),IF(OR(I260="Observada",I260="Rechazada"),0,G260)))</f>
        <v/>
      </c>
      <c r="L260" s="24" t="n"/>
      <c r="M260" s="25">
        <f>IF(OR(A260="",D260=""),0,IF(COUNTIFS($A$2:A260,A260,$D$2:D260,D260)=1,1,0))</f>
        <v/>
      </c>
    </row>
    <row r="261">
      <c r="A261" s="26" t="n"/>
      <c r="B261" s="27" t="n"/>
      <c r="C261" s="27" t="n"/>
      <c r="D261" s="28" t="n"/>
      <c r="E261" s="28" t="n"/>
      <c r="F261" s="29" t="n"/>
      <c r="G261" s="30" t="n"/>
      <c r="H261" s="20">
        <f>IF(A261="","",TRIM(IF(WEEKDAY(A261,2)&gt;5,"Fin de semana. ","")&amp;IF(SUMIFS($G$2:$G$601,$A$2:$A$601,A261,$D$2:$D$601,D261)&gt;9,"Más de 9 h en el día. ","")&amp;IF(AND(B261&lt;&gt;"",C261&lt;&gt;"",C261&lt;B261),"Cruza la medianoche. ","")&amp;IF(LEN(TRIM(F261))&lt;15,"Sin descripción suficiente. ","")&amp;IF(AND(ISERROR(SEARCH("R-0",F261)),ISERROR(SEARCH("CU-",F261))),"Sin ticket. ","")&amp;IF(ISNA(MATCH(E261,Datos!$E$8:$E$22,0)),"Proyecto sin valor hora. ","")&amp;IF(ISNA(MATCH(D261,Datos!$A$8:$A$22,0)),"Persona fuera del equipo. ","")))</f>
        <v/>
      </c>
      <c r="I261" s="21" t="n"/>
      <c r="J261" s="22" t="n"/>
      <c r="K261" s="23">
        <f>IF(G261="","",IF(J261&lt;&gt;"",MIN(J261,G261),IF(OR(I261="Observada",I261="Rechazada"),0,G261)))</f>
        <v/>
      </c>
      <c r="L261" s="24" t="n"/>
      <c r="M261" s="25">
        <f>IF(OR(A261="",D261=""),0,IF(COUNTIFS($A$2:A261,A261,$D$2:D261,D261)=1,1,0))</f>
        <v/>
      </c>
    </row>
    <row r="262">
      <c r="A262" s="26" t="n"/>
      <c r="B262" s="27" t="n"/>
      <c r="C262" s="27" t="n"/>
      <c r="D262" s="28" t="n"/>
      <c r="E262" s="28" t="n"/>
      <c r="F262" s="29" t="n"/>
      <c r="G262" s="30" t="n"/>
      <c r="H262" s="20">
        <f>IF(A262="","",TRIM(IF(WEEKDAY(A262,2)&gt;5,"Fin de semana. ","")&amp;IF(SUMIFS($G$2:$G$601,$A$2:$A$601,A262,$D$2:$D$601,D262)&gt;9,"Más de 9 h en el día. ","")&amp;IF(AND(B262&lt;&gt;"",C262&lt;&gt;"",C262&lt;B262),"Cruza la medianoche. ","")&amp;IF(LEN(TRIM(F262))&lt;15,"Sin descripción suficiente. ","")&amp;IF(AND(ISERROR(SEARCH("R-0",F262)),ISERROR(SEARCH("CU-",F262))),"Sin ticket. ","")&amp;IF(ISNA(MATCH(E262,Datos!$E$8:$E$22,0)),"Proyecto sin valor hora. ","")&amp;IF(ISNA(MATCH(D262,Datos!$A$8:$A$22,0)),"Persona fuera del equipo. ","")))</f>
        <v/>
      </c>
      <c r="I262" s="21" t="n"/>
      <c r="J262" s="22" t="n"/>
      <c r="K262" s="23">
        <f>IF(G262="","",IF(J262&lt;&gt;"",MIN(J262,G262),IF(OR(I262="Observada",I262="Rechazada"),0,G262)))</f>
        <v/>
      </c>
      <c r="L262" s="24" t="n"/>
      <c r="M262" s="25">
        <f>IF(OR(A262="",D262=""),0,IF(COUNTIFS($A$2:A262,A262,$D$2:D262,D262)=1,1,0))</f>
        <v/>
      </c>
    </row>
    <row r="263">
      <c r="A263" s="26" t="n"/>
      <c r="B263" s="27" t="n"/>
      <c r="C263" s="27" t="n"/>
      <c r="D263" s="28" t="n"/>
      <c r="E263" s="28" t="n"/>
      <c r="F263" s="29" t="n"/>
      <c r="G263" s="30" t="n"/>
      <c r="H263" s="20">
        <f>IF(A263="","",TRIM(IF(WEEKDAY(A263,2)&gt;5,"Fin de semana. ","")&amp;IF(SUMIFS($G$2:$G$601,$A$2:$A$601,A263,$D$2:$D$601,D263)&gt;9,"Más de 9 h en el día. ","")&amp;IF(AND(B263&lt;&gt;"",C263&lt;&gt;"",C263&lt;B263),"Cruza la medianoche. ","")&amp;IF(LEN(TRIM(F263))&lt;15,"Sin descripción suficiente. ","")&amp;IF(AND(ISERROR(SEARCH("R-0",F263)),ISERROR(SEARCH("CU-",F263))),"Sin ticket. ","")&amp;IF(ISNA(MATCH(E263,Datos!$E$8:$E$22,0)),"Proyecto sin valor hora. ","")&amp;IF(ISNA(MATCH(D263,Datos!$A$8:$A$22,0)),"Persona fuera del equipo. ","")))</f>
        <v/>
      </c>
      <c r="I263" s="21" t="n"/>
      <c r="J263" s="22" t="n"/>
      <c r="K263" s="23">
        <f>IF(G263="","",IF(J263&lt;&gt;"",MIN(J263,G263),IF(OR(I263="Observada",I263="Rechazada"),0,G263)))</f>
        <v/>
      </c>
      <c r="L263" s="24" t="n"/>
      <c r="M263" s="25">
        <f>IF(OR(A263="",D263=""),0,IF(COUNTIFS($A$2:A263,A263,$D$2:D263,D263)=1,1,0))</f>
        <v/>
      </c>
    </row>
    <row r="264">
      <c r="A264" s="26" t="n"/>
      <c r="B264" s="27" t="n"/>
      <c r="C264" s="27" t="n"/>
      <c r="D264" s="28" t="n"/>
      <c r="E264" s="28" t="n"/>
      <c r="F264" s="29" t="n"/>
      <c r="G264" s="30" t="n"/>
      <c r="H264" s="20">
        <f>IF(A264="","",TRIM(IF(WEEKDAY(A264,2)&gt;5,"Fin de semana. ","")&amp;IF(SUMIFS($G$2:$G$601,$A$2:$A$601,A264,$D$2:$D$601,D264)&gt;9,"Más de 9 h en el día. ","")&amp;IF(AND(B264&lt;&gt;"",C264&lt;&gt;"",C264&lt;B264),"Cruza la medianoche. ","")&amp;IF(LEN(TRIM(F264))&lt;15,"Sin descripción suficiente. ","")&amp;IF(AND(ISERROR(SEARCH("R-0",F264)),ISERROR(SEARCH("CU-",F264))),"Sin ticket. ","")&amp;IF(ISNA(MATCH(E264,Datos!$E$8:$E$22,0)),"Proyecto sin valor hora. ","")&amp;IF(ISNA(MATCH(D264,Datos!$A$8:$A$22,0)),"Persona fuera del equipo. ","")))</f>
        <v/>
      </c>
      <c r="I264" s="21" t="n"/>
      <c r="J264" s="22" t="n"/>
      <c r="K264" s="23">
        <f>IF(G264="","",IF(J264&lt;&gt;"",MIN(J264,G264),IF(OR(I264="Observada",I264="Rechazada"),0,G264)))</f>
        <v/>
      </c>
      <c r="L264" s="24" t="n"/>
      <c r="M264" s="25">
        <f>IF(OR(A264="",D264=""),0,IF(COUNTIFS($A$2:A264,A264,$D$2:D264,D264)=1,1,0))</f>
        <v/>
      </c>
    </row>
    <row r="265">
      <c r="A265" s="26" t="n"/>
      <c r="B265" s="27" t="n"/>
      <c r="C265" s="27" t="n"/>
      <c r="D265" s="28" t="n"/>
      <c r="E265" s="28" t="n"/>
      <c r="F265" s="29" t="n"/>
      <c r="G265" s="30" t="n"/>
      <c r="H265" s="20">
        <f>IF(A265="","",TRIM(IF(WEEKDAY(A265,2)&gt;5,"Fin de semana. ","")&amp;IF(SUMIFS($G$2:$G$601,$A$2:$A$601,A265,$D$2:$D$601,D265)&gt;9,"Más de 9 h en el día. ","")&amp;IF(AND(B265&lt;&gt;"",C265&lt;&gt;"",C265&lt;B265),"Cruza la medianoche. ","")&amp;IF(LEN(TRIM(F265))&lt;15,"Sin descripción suficiente. ","")&amp;IF(AND(ISERROR(SEARCH("R-0",F265)),ISERROR(SEARCH("CU-",F265))),"Sin ticket. ","")&amp;IF(ISNA(MATCH(E265,Datos!$E$8:$E$22,0)),"Proyecto sin valor hora. ","")&amp;IF(ISNA(MATCH(D265,Datos!$A$8:$A$22,0)),"Persona fuera del equipo. ","")))</f>
        <v/>
      </c>
      <c r="I265" s="21" t="n"/>
      <c r="J265" s="22" t="n"/>
      <c r="K265" s="23">
        <f>IF(G265="","",IF(J265&lt;&gt;"",MIN(J265,G265),IF(OR(I265="Observada",I265="Rechazada"),0,G265)))</f>
        <v/>
      </c>
      <c r="L265" s="24" t="n"/>
      <c r="M265" s="25">
        <f>IF(OR(A265="",D265=""),0,IF(COUNTIFS($A$2:A265,A265,$D$2:D265,D265)=1,1,0))</f>
        <v/>
      </c>
    </row>
    <row r="266">
      <c r="A266" s="26" t="n"/>
      <c r="B266" s="27" t="n"/>
      <c r="C266" s="27" t="n"/>
      <c r="D266" s="28" t="n"/>
      <c r="E266" s="28" t="n"/>
      <c r="F266" s="29" t="n"/>
      <c r="G266" s="30" t="n"/>
      <c r="H266" s="20">
        <f>IF(A266="","",TRIM(IF(WEEKDAY(A266,2)&gt;5,"Fin de semana. ","")&amp;IF(SUMIFS($G$2:$G$601,$A$2:$A$601,A266,$D$2:$D$601,D266)&gt;9,"Más de 9 h en el día. ","")&amp;IF(AND(B266&lt;&gt;"",C266&lt;&gt;"",C266&lt;B266),"Cruza la medianoche. ","")&amp;IF(LEN(TRIM(F266))&lt;15,"Sin descripción suficiente. ","")&amp;IF(AND(ISERROR(SEARCH("R-0",F266)),ISERROR(SEARCH("CU-",F266))),"Sin ticket. ","")&amp;IF(ISNA(MATCH(E266,Datos!$E$8:$E$22,0)),"Proyecto sin valor hora. ","")&amp;IF(ISNA(MATCH(D266,Datos!$A$8:$A$22,0)),"Persona fuera del equipo. ","")))</f>
        <v/>
      </c>
      <c r="I266" s="21" t="n"/>
      <c r="J266" s="22" t="n"/>
      <c r="K266" s="23">
        <f>IF(G266="","",IF(J266&lt;&gt;"",MIN(J266,G266),IF(OR(I266="Observada",I266="Rechazada"),0,G266)))</f>
        <v/>
      </c>
      <c r="L266" s="24" t="n"/>
      <c r="M266" s="25">
        <f>IF(OR(A266="",D266=""),0,IF(COUNTIFS($A$2:A266,A266,$D$2:D266,D266)=1,1,0))</f>
        <v/>
      </c>
    </row>
    <row r="267">
      <c r="A267" s="26" t="n"/>
      <c r="B267" s="27" t="n"/>
      <c r="C267" s="27" t="n"/>
      <c r="D267" s="28" t="n"/>
      <c r="E267" s="28" t="n"/>
      <c r="F267" s="29" t="n"/>
      <c r="G267" s="30" t="n"/>
      <c r="H267" s="20">
        <f>IF(A267="","",TRIM(IF(WEEKDAY(A267,2)&gt;5,"Fin de semana. ","")&amp;IF(SUMIFS($G$2:$G$601,$A$2:$A$601,A267,$D$2:$D$601,D267)&gt;9,"Más de 9 h en el día. ","")&amp;IF(AND(B267&lt;&gt;"",C267&lt;&gt;"",C267&lt;B267),"Cruza la medianoche. ","")&amp;IF(LEN(TRIM(F267))&lt;15,"Sin descripción suficiente. ","")&amp;IF(AND(ISERROR(SEARCH("R-0",F267)),ISERROR(SEARCH("CU-",F267))),"Sin ticket. ","")&amp;IF(ISNA(MATCH(E267,Datos!$E$8:$E$22,0)),"Proyecto sin valor hora. ","")&amp;IF(ISNA(MATCH(D267,Datos!$A$8:$A$22,0)),"Persona fuera del equipo. ","")))</f>
        <v/>
      </c>
      <c r="I267" s="21" t="n"/>
      <c r="J267" s="22" t="n"/>
      <c r="K267" s="23">
        <f>IF(G267="","",IF(J267&lt;&gt;"",MIN(J267,G267),IF(OR(I267="Observada",I267="Rechazada"),0,G267)))</f>
        <v/>
      </c>
      <c r="L267" s="24" t="n"/>
      <c r="M267" s="25">
        <f>IF(OR(A267="",D267=""),0,IF(COUNTIFS($A$2:A267,A267,$D$2:D267,D267)=1,1,0))</f>
        <v/>
      </c>
    </row>
    <row r="268">
      <c r="A268" s="26" t="n"/>
      <c r="B268" s="27" t="n"/>
      <c r="C268" s="27" t="n"/>
      <c r="D268" s="28" t="n"/>
      <c r="E268" s="28" t="n"/>
      <c r="F268" s="29" t="n"/>
      <c r="G268" s="30" t="n"/>
      <c r="H268" s="20">
        <f>IF(A268="","",TRIM(IF(WEEKDAY(A268,2)&gt;5,"Fin de semana. ","")&amp;IF(SUMIFS($G$2:$G$601,$A$2:$A$601,A268,$D$2:$D$601,D268)&gt;9,"Más de 9 h en el día. ","")&amp;IF(AND(B268&lt;&gt;"",C268&lt;&gt;"",C268&lt;B268),"Cruza la medianoche. ","")&amp;IF(LEN(TRIM(F268))&lt;15,"Sin descripción suficiente. ","")&amp;IF(AND(ISERROR(SEARCH("R-0",F268)),ISERROR(SEARCH("CU-",F268))),"Sin ticket. ","")&amp;IF(ISNA(MATCH(E268,Datos!$E$8:$E$22,0)),"Proyecto sin valor hora. ","")&amp;IF(ISNA(MATCH(D268,Datos!$A$8:$A$22,0)),"Persona fuera del equipo. ","")))</f>
        <v/>
      </c>
      <c r="I268" s="21" t="n"/>
      <c r="J268" s="22" t="n"/>
      <c r="K268" s="23">
        <f>IF(G268="","",IF(J268&lt;&gt;"",MIN(J268,G268),IF(OR(I268="Observada",I268="Rechazada"),0,G268)))</f>
        <v/>
      </c>
      <c r="L268" s="24" t="n"/>
      <c r="M268" s="25">
        <f>IF(OR(A268="",D268=""),0,IF(COUNTIFS($A$2:A268,A268,$D$2:D268,D268)=1,1,0))</f>
        <v/>
      </c>
    </row>
    <row r="269">
      <c r="A269" s="26" t="n"/>
      <c r="B269" s="27" t="n"/>
      <c r="C269" s="27" t="n"/>
      <c r="D269" s="28" t="n"/>
      <c r="E269" s="28" t="n"/>
      <c r="F269" s="29" t="n"/>
      <c r="G269" s="30" t="n"/>
      <c r="H269" s="20">
        <f>IF(A269="","",TRIM(IF(WEEKDAY(A269,2)&gt;5,"Fin de semana. ","")&amp;IF(SUMIFS($G$2:$G$601,$A$2:$A$601,A269,$D$2:$D$601,D269)&gt;9,"Más de 9 h en el día. ","")&amp;IF(AND(B269&lt;&gt;"",C269&lt;&gt;"",C269&lt;B269),"Cruza la medianoche. ","")&amp;IF(LEN(TRIM(F269))&lt;15,"Sin descripción suficiente. ","")&amp;IF(AND(ISERROR(SEARCH("R-0",F269)),ISERROR(SEARCH("CU-",F269))),"Sin ticket. ","")&amp;IF(ISNA(MATCH(E269,Datos!$E$8:$E$22,0)),"Proyecto sin valor hora. ","")&amp;IF(ISNA(MATCH(D269,Datos!$A$8:$A$22,0)),"Persona fuera del equipo. ","")))</f>
        <v/>
      </c>
      <c r="I269" s="21" t="n"/>
      <c r="J269" s="22" t="n"/>
      <c r="K269" s="23">
        <f>IF(G269="","",IF(J269&lt;&gt;"",MIN(J269,G269),IF(OR(I269="Observada",I269="Rechazada"),0,G269)))</f>
        <v/>
      </c>
      <c r="L269" s="24" t="n"/>
      <c r="M269" s="25">
        <f>IF(OR(A269="",D269=""),0,IF(COUNTIFS($A$2:A269,A269,$D$2:D269,D269)=1,1,0))</f>
        <v/>
      </c>
    </row>
    <row r="270">
      <c r="A270" s="26" t="n"/>
      <c r="B270" s="27" t="n"/>
      <c r="C270" s="27" t="n"/>
      <c r="D270" s="28" t="n"/>
      <c r="E270" s="28" t="n"/>
      <c r="F270" s="29" t="n"/>
      <c r="G270" s="30" t="n"/>
      <c r="H270" s="20">
        <f>IF(A270="","",TRIM(IF(WEEKDAY(A270,2)&gt;5,"Fin de semana. ","")&amp;IF(SUMIFS($G$2:$G$601,$A$2:$A$601,A270,$D$2:$D$601,D270)&gt;9,"Más de 9 h en el día. ","")&amp;IF(AND(B270&lt;&gt;"",C270&lt;&gt;"",C270&lt;B270),"Cruza la medianoche. ","")&amp;IF(LEN(TRIM(F270))&lt;15,"Sin descripción suficiente. ","")&amp;IF(AND(ISERROR(SEARCH("R-0",F270)),ISERROR(SEARCH("CU-",F270))),"Sin ticket. ","")&amp;IF(ISNA(MATCH(E270,Datos!$E$8:$E$22,0)),"Proyecto sin valor hora. ","")&amp;IF(ISNA(MATCH(D270,Datos!$A$8:$A$22,0)),"Persona fuera del equipo. ","")))</f>
        <v/>
      </c>
      <c r="I270" s="21" t="n"/>
      <c r="J270" s="22" t="n"/>
      <c r="K270" s="23">
        <f>IF(G270="","",IF(J270&lt;&gt;"",MIN(J270,G270),IF(OR(I270="Observada",I270="Rechazada"),0,G270)))</f>
        <v/>
      </c>
      <c r="L270" s="24" t="n"/>
      <c r="M270" s="25">
        <f>IF(OR(A270="",D270=""),0,IF(COUNTIFS($A$2:A270,A270,$D$2:D270,D270)=1,1,0))</f>
        <v/>
      </c>
    </row>
    <row r="271">
      <c r="A271" s="26" t="n"/>
      <c r="B271" s="27" t="n"/>
      <c r="C271" s="27" t="n"/>
      <c r="D271" s="28" t="n"/>
      <c r="E271" s="28" t="n"/>
      <c r="F271" s="29" t="n"/>
      <c r="G271" s="30" t="n"/>
      <c r="H271" s="20">
        <f>IF(A271="","",TRIM(IF(WEEKDAY(A271,2)&gt;5,"Fin de semana. ","")&amp;IF(SUMIFS($G$2:$G$601,$A$2:$A$601,A271,$D$2:$D$601,D271)&gt;9,"Más de 9 h en el día. ","")&amp;IF(AND(B271&lt;&gt;"",C271&lt;&gt;"",C271&lt;B271),"Cruza la medianoche. ","")&amp;IF(LEN(TRIM(F271))&lt;15,"Sin descripción suficiente. ","")&amp;IF(AND(ISERROR(SEARCH("R-0",F271)),ISERROR(SEARCH("CU-",F271))),"Sin ticket. ","")&amp;IF(ISNA(MATCH(E271,Datos!$E$8:$E$22,0)),"Proyecto sin valor hora. ","")&amp;IF(ISNA(MATCH(D271,Datos!$A$8:$A$22,0)),"Persona fuera del equipo. ","")))</f>
        <v/>
      </c>
      <c r="I271" s="21" t="n"/>
      <c r="J271" s="22" t="n"/>
      <c r="K271" s="23">
        <f>IF(G271="","",IF(J271&lt;&gt;"",MIN(J271,G271),IF(OR(I271="Observada",I271="Rechazada"),0,G271)))</f>
        <v/>
      </c>
      <c r="L271" s="24" t="n"/>
      <c r="M271" s="25">
        <f>IF(OR(A271="",D271=""),0,IF(COUNTIFS($A$2:A271,A271,$D$2:D271,D271)=1,1,0))</f>
        <v/>
      </c>
    </row>
    <row r="272">
      <c r="A272" s="26" t="n"/>
      <c r="B272" s="27" t="n"/>
      <c r="C272" s="27" t="n"/>
      <c r="D272" s="28" t="n"/>
      <c r="E272" s="28" t="n"/>
      <c r="F272" s="29" t="n"/>
      <c r="G272" s="30" t="n"/>
      <c r="H272" s="20">
        <f>IF(A272="","",TRIM(IF(WEEKDAY(A272,2)&gt;5,"Fin de semana. ","")&amp;IF(SUMIFS($G$2:$G$601,$A$2:$A$601,A272,$D$2:$D$601,D272)&gt;9,"Más de 9 h en el día. ","")&amp;IF(AND(B272&lt;&gt;"",C272&lt;&gt;"",C272&lt;B272),"Cruza la medianoche. ","")&amp;IF(LEN(TRIM(F272))&lt;15,"Sin descripción suficiente. ","")&amp;IF(AND(ISERROR(SEARCH("R-0",F272)),ISERROR(SEARCH("CU-",F272))),"Sin ticket. ","")&amp;IF(ISNA(MATCH(E272,Datos!$E$8:$E$22,0)),"Proyecto sin valor hora. ","")&amp;IF(ISNA(MATCH(D272,Datos!$A$8:$A$22,0)),"Persona fuera del equipo. ","")))</f>
        <v/>
      </c>
      <c r="I272" s="21" t="n"/>
      <c r="J272" s="22" t="n"/>
      <c r="K272" s="23">
        <f>IF(G272="","",IF(J272&lt;&gt;"",MIN(J272,G272),IF(OR(I272="Observada",I272="Rechazada"),0,G272)))</f>
        <v/>
      </c>
      <c r="L272" s="24" t="n"/>
      <c r="M272" s="25">
        <f>IF(OR(A272="",D272=""),0,IF(COUNTIFS($A$2:A272,A272,$D$2:D272,D272)=1,1,0))</f>
        <v/>
      </c>
    </row>
    <row r="273">
      <c r="A273" s="26" t="n"/>
      <c r="B273" s="27" t="n"/>
      <c r="C273" s="27" t="n"/>
      <c r="D273" s="28" t="n"/>
      <c r="E273" s="28" t="n"/>
      <c r="F273" s="29" t="n"/>
      <c r="G273" s="30" t="n"/>
      <c r="H273" s="20">
        <f>IF(A273="","",TRIM(IF(WEEKDAY(A273,2)&gt;5,"Fin de semana. ","")&amp;IF(SUMIFS($G$2:$G$601,$A$2:$A$601,A273,$D$2:$D$601,D273)&gt;9,"Más de 9 h en el día. ","")&amp;IF(AND(B273&lt;&gt;"",C273&lt;&gt;"",C273&lt;B273),"Cruza la medianoche. ","")&amp;IF(LEN(TRIM(F273))&lt;15,"Sin descripción suficiente. ","")&amp;IF(AND(ISERROR(SEARCH("R-0",F273)),ISERROR(SEARCH("CU-",F273))),"Sin ticket. ","")&amp;IF(ISNA(MATCH(E273,Datos!$E$8:$E$22,0)),"Proyecto sin valor hora. ","")&amp;IF(ISNA(MATCH(D273,Datos!$A$8:$A$22,0)),"Persona fuera del equipo. ","")))</f>
        <v/>
      </c>
      <c r="I273" s="21" t="n"/>
      <c r="J273" s="22" t="n"/>
      <c r="K273" s="23">
        <f>IF(G273="","",IF(J273&lt;&gt;"",MIN(J273,G273),IF(OR(I273="Observada",I273="Rechazada"),0,G273)))</f>
        <v/>
      </c>
      <c r="L273" s="24" t="n"/>
      <c r="M273" s="25">
        <f>IF(OR(A273="",D273=""),0,IF(COUNTIFS($A$2:A273,A273,$D$2:D273,D273)=1,1,0))</f>
        <v/>
      </c>
    </row>
    <row r="274">
      <c r="A274" s="26" t="n"/>
      <c r="B274" s="27" t="n"/>
      <c r="C274" s="27" t="n"/>
      <c r="D274" s="28" t="n"/>
      <c r="E274" s="28" t="n"/>
      <c r="F274" s="29" t="n"/>
      <c r="G274" s="30" t="n"/>
      <c r="H274" s="20">
        <f>IF(A274="","",TRIM(IF(WEEKDAY(A274,2)&gt;5,"Fin de semana. ","")&amp;IF(SUMIFS($G$2:$G$601,$A$2:$A$601,A274,$D$2:$D$601,D274)&gt;9,"Más de 9 h en el día. ","")&amp;IF(AND(B274&lt;&gt;"",C274&lt;&gt;"",C274&lt;B274),"Cruza la medianoche. ","")&amp;IF(LEN(TRIM(F274))&lt;15,"Sin descripción suficiente. ","")&amp;IF(AND(ISERROR(SEARCH("R-0",F274)),ISERROR(SEARCH("CU-",F274))),"Sin ticket. ","")&amp;IF(ISNA(MATCH(E274,Datos!$E$8:$E$22,0)),"Proyecto sin valor hora. ","")&amp;IF(ISNA(MATCH(D274,Datos!$A$8:$A$22,0)),"Persona fuera del equipo. ","")))</f>
        <v/>
      </c>
      <c r="I274" s="21" t="n"/>
      <c r="J274" s="22" t="n"/>
      <c r="K274" s="23">
        <f>IF(G274="","",IF(J274&lt;&gt;"",MIN(J274,G274),IF(OR(I274="Observada",I274="Rechazada"),0,G274)))</f>
        <v/>
      </c>
      <c r="L274" s="24" t="n"/>
      <c r="M274" s="25">
        <f>IF(OR(A274="",D274=""),0,IF(COUNTIFS($A$2:A274,A274,$D$2:D274,D274)=1,1,0))</f>
        <v/>
      </c>
    </row>
    <row r="275">
      <c r="A275" s="26" t="n"/>
      <c r="B275" s="27" t="n"/>
      <c r="C275" s="27" t="n"/>
      <c r="D275" s="28" t="n"/>
      <c r="E275" s="28" t="n"/>
      <c r="F275" s="29" t="n"/>
      <c r="G275" s="30" t="n"/>
      <c r="H275" s="20">
        <f>IF(A275="","",TRIM(IF(WEEKDAY(A275,2)&gt;5,"Fin de semana. ","")&amp;IF(SUMIFS($G$2:$G$601,$A$2:$A$601,A275,$D$2:$D$601,D275)&gt;9,"Más de 9 h en el día. ","")&amp;IF(AND(B275&lt;&gt;"",C275&lt;&gt;"",C275&lt;B275),"Cruza la medianoche. ","")&amp;IF(LEN(TRIM(F275))&lt;15,"Sin descripción suficiente. ","")&amp;IF(AND(ISERROR(SEARCH("R-0",F275)),ISERROR(SEARCH("CU-",F275))),"Sin ticket. ","")&amp;IF(ISNA(MATCH(E275,Datos!$E$8:$E$22,0)),"Proyecto sin valor hora. ","")&amp;IF(ISNA(MATCH(D275,Datos!$A$8:$A$22,0)),"Persona fuera del equipo. ","")))</f>
        <v/>
      </c>
      <c r="I275" s="21" t="n"/>
      <c r="J275" s="22" t="n"/>
      <c r="K275" s="23">
        <f>IF(G275="","",IF(J275&lt;&gt;"",MIN(J275,G275),IF(OR(I275="Observada",I275="Rechazada"),0,G275)))</f>
        <v/>
      </c>
      <c r="L275" s="24" t="n"/>
      <c r="M275" s="25">
        <f>IF(OR(A275="",D275=""),0,IF(COUNTIFS($A$2:A275,A275,$D$2:D275,D275)=1,1,0))</f>
        <v/>
      </c>
    </row>
    <row r="276">
      <c r="A276" s="26" t="n"/>
      <c r="B276" s="27" t="n"/>
      <c r="C276" s="27" t="n"/>
      <c r="D276" s="28" t="n"/>
      <c r="E276" s="28" t="n"/>
      <c r="F276" s="29" t="n"/>
      <c r="G276" s="30" t="n"/>
      <c r="H276" s="20">
        <f>IF(A276="","",TRIM(IF(WEEKDAY(A276,2)&gt;5,"Fin de semana. ","")&amp;IF(SUMIFS($G$2:$G$601,$A$2:$A$601,A276,$D$2:$D$601,D276)&gt;9,"Más de 9 h en el día. ","")&amp;IF(AND(B276&lt;&gt;"",C276&lt;&gt;"",C276&lt;B276),"Cruza la medianoche. ","")&amp;IF(LEN(TRIM(F276))&lt;15,"Sin descripción suficiente. ","")&amp;IF(AND(ISERROR(SEARCH("R-0",F276)),ISERROR(SEARCH("CU-",F276))),"Sin ticket. ","")&amp;IF(ISNA(MATCH(E276,Datos!$E$8:$E$22,0)),"Proyecto sin valor hora. ","")&amp;IF(ISNA(MATCH(D276,Datos!$A$8:$A$22,0)),"Persona fuera del equipo. ","")))</f>
        <v/>
      </c>
      <c r="I276" s="21" t="n"/>
      <c r="J276" s="22" t="n"/>
      <c r="K276" s="23">
        <f>IF(G276="","",IF(J276&lt;&gt;"",MIN(J276,G276),IF(OR(I276="Observada",I276="Rechazada"),0,G276)))</f>
        <v/>
      </c>
      <c r="L276" s="24" t="n"/>
      <c r="M276" s="25">
        <f>IF(OR(A276="",D276=""),0,IF(COUNTIFS($A$2:A276,A276,$D$2:D276,D276)=1,1,0))</f>
        <v/>
      </c>
    </row>
    <row r="277">
      <c r="A277" s="26" t="n"/>
      <c r="B277" s="27" t="n"/>
      <c r="C277" s="27" t="n"/>
      <c r="D277" s="28" t="n"/>
      <c r="E277" s="28" t="n"/>
      <c r="F277" s="29" t="n"/>
      <c r="G277" s="30" t="n"/>
      <c r="H277" s="20">
        <f>IF(A277="","",TRIM(IF(WEEKDAY(A277,2)&gt;5,"Fin de semana. ","")&amp;IF(SUMIFS($G$2:$G$601,$A$2:$A$601,A277,$D$2:$D$601,D277)&gt;9,"Más de 9 h en el día. ","")&amp;IF(AND(B277&lt;&gt;"",C277&lt;&gt;"",C277&lt;B277),"Cruza la medianoche. ","")&amp;IF(LEN(TRIM(F277))&lt;15,"Sin descripción suficiente. ","")&amp;IF(AND(ISERROR(SEARCH("R-0",F277)),ISERROR(SEARCH("CU-",F277))),"Sin ticket. ","")&amp;IF(ISNA(MATCH(E277,Datos!$E$8:$E$22,0)),"Proyecto sin valor hora. ","")&amp;IF(ISNA(MATCH(D277,Datos!$A$8:$A$22,0)),"Persona fuera del equipo. ","")))</f>
        <v/>
      </c>
      <c r="I277" s="21" t="n"/>
      <c r="J277" s="22" t="n"/>
      <c r="K277" s="23">
        <f>IF(G277="","",IF(J277&lt;&gt;"",MIN(J277,G277),IF(OR(I277="Observada",I277="Rechazada"),0,G277)))</f>
        <v/>
      </c>
      <c r="L277" s="24" t="n"/>
      <c r="M277" s="25">
        <f>IF(OR(A277="",D277=""),0,IF(COUNTIFS($A$2:A277,A277,$D$2:D277,D277)=1,1,0))</f>
        <v/>
      </c>
    </row>
    <row r="278">
      <c r="A278" s="26" t="n"/>
      <c r="B278" s="27" t="n"/>
      <c r="C278" s="27" t="n"/>
      <c r="D278" s="28" t="n"/>
      <c r="E278" s="28" t="n"/>
      <c r="F278" s="29" t="n"/>
      <c r="G278" s="30" t="n"/>
      <c r="H278" s="20">
        <f>IF(A278="","",TRIM(IF(WEEKDAY(A278,2)&gt;5,"Fin de semana. ","")&amp;IF(SUMIFS($G$2:$G$601,$A$2:$A$601,A278,$D$2:$D$601,D278)&gt;9,"Más de 9 h en el día. ","")&amp;IF(AND(B278&lt;&gt;"",C278&lt;&gt;"",C278&lt;B278),"Cruza la medianoche. ","")&amp;IF(LEN(TRIM(F278))&lt;15,"Sin descripción suficiente. ","")&amp;IF(AND(ISERROR(SEARCH("R-0",F278)),ISERROR(SEARCH("CU-",F278))),"Sin ticket. ","")&amp;IF(ISNA(MATCH(E278,Datos!$E$8:$E$22,0)),"Proyecto sin valor hora. ","")&amp;IF(ISNA(MATCH(D278,Datos!$A$8:$A$22,0)),"Persona fuera del equipo. ","")))</f>
        <v/>
      </c>
      <c r="I278" s="21" t="n"/>
      <c r="J278" s="22" t="n"/>
      <c r="K278" s="23">
        <f>IF(G278="","",IF(J278&lt;&gt;"",MIN(J278,G278),IF(OR(I278="Observada",I278="Rechazada"),0,G278)))</f>
        <v/>
      </c>
      <c r="L278" s="24" t="n"/>
      <c r="M278" s="25">
        <f>IF(OR(A278="",D278=""),0,IF(COUNTIFS($A$2:A278,A278,$D$2:D278,D278)=1,1,0))</f>
        <v/>
      </c>
    </row>
    <row r="279">
      <c r="A279" s="26" t="n"/>
      <c r="B279" s="27" t="n"/>
      <c r="C279" s="27" t="n"/>
      <c r="D279" s="28" t="n"/>
      <c r="E279" s="28" t="n"/>
      <c r="F279" s="29" t="n"/>
      <c r="G279" s="30" t="n"/>
      <c r="H279" s="20">
        <f>IF(A279="","",TRIM(IF(WEEKDAY(A279,2)&gt;5,"Fin de semana. ","")&amp;IF(SUMIFS($G$2:$G$601,$A$2:$A$601,A279,$D$2:$D$601,D279)&gt;9,"Más de 9 h en el día. ","")&amp;IF(AND(B279&lt;&gt;"",C279&lt;&gt;"",C279&lt;B279),"Cruza la medianoche. ","")&amp;IF(LEN(TRIM(F279))&lt;15,"Sin descripción suficiente. ","")&amp;IF(AND(ISERROR(SEARCH("R-0",F279)),ISERROR(SEARCH("CU-",F279))),"Sin ticket. ","")&amp;IF(ISNA(MATCH(E279,Datos!$E$8:$E$22,0)),"Proyecto sin valor hora. ","")&amp;IF(ISNA(MATCH(D279,Datos!$A$8:$A$22,0)),"Persona fuera del equipo. ","")))</f>
        <v/>
      </c>
      <c r="I279" s="21" t="n"/>
      <c r="J279" s="22" t="n"/>
      <c r="K279" s="23">
        <f>IF(G279="","",IF(J279&lt;&gt;"",MIN(J279,G279),IF(OR(I279="Observada",I279="Rechazada"),0,G279)))</f>
        <v/>
      </c>
      <c r="L279" s="24" t="n"/>
      <c r="M279" s="25">
        <f>IF(OR(A279="",D279=""),0,IF(COUNTIFS($A$2:A279,A279,$D$2:D279,D279)=1,1,0))</f>
        <v/>
      </c>
    </row>
    <row r="280">
      <c r="A280" s="26" t="n"/>
      <c r="B280" s="27" t="n"/>
      <c r="C280" s="27" t="n"/>
      <c r="D280" s="28" t="n"/>
      <c r="E280" s="28" t="n"/>
      <c r="F280" s="29" t="n"/>
      <c r="G280" s="30" t="n"/>
      <c r="H280" s="20">
        <f>IF(A280="","",TRIM(IF(WEEKDAY(A280,2)&gt;5,"Fin de semana. ","")&amp;IF(SUMIFS($G$2:$G$601,$A$2:$A$601,A280,$D$2:$D$601,D280)&gt;9,"Más de 9 h en el día. ","")&amp;IF(AND(B280&lt;&gt;"",C280&lt;&gt;"",C280&lt;B280),"Cruza la medianoche. ","")&amp;IF(LEN(TRIM(F280))&lt;15,"Sin descripción suficiente. ","")&amp;IF(AND(ISERROR(SEARCH("R-0",F280)),ISERROR(SEARCH("CU-",F280))),"Sin ticket. ","")&amp;IF(ISNA(MATCH(E280,Datos!$E$8:$E$22,0)),"Proyecto sin valor hora. ","")&amp;IF(ISNA(MATCH(D280,Datos!$A$8:$A$22,0)),"Persona fuera del equipo. ","")))</f>
        <v/>
      </c>
      <c r="I280" s="21" t="n"/>
      <c r="J280" s="22" t="n"/>
      <c r="K280" s="23">
        <f>IF(G280="","",IF(J280&lt;&gt;"",MIN(J280,G280),IF(OR(I280="Observada",I280="Rechazada"),0,G280)))</f>
        <v/>
      </c>
      <c r="L280" s="24" t="n"/>
      <c r="M280" s="25">
        <f>IF(OR(A280="",D280=""),0,IF(COUNTIFS($A$2:A280,A280,$D$2:D280,D280)=1,1,0))</f>
        <v/>
      </c>
    </row>
    <row r="281">
      <c r="A281" s="26" t="n"/>
      <c r="B281" s="27" t="n"/>
      <c r="C281" s="27" t="n"/>
      <c r="D281" s="28" t="n"/>
      <c r="E281" s="28" t="n"/>
      <c r="F281" s="29" t="n"/>
      <c r="G281" s="30" t="n"/>
      <c r="H281" s="20">
        <f>IF(A281="","",TRIM(IF(WEEKDAY(A281,2)&gt;5,"Fin de semana. ","")&amp;IF(SUMIFS($G$2:$G$601,$A$2:$A$601,A281,$D$2:$D$601,D281)&gt;9,"Más de 9 h en el día. ","")&amp;IF(AND(B281&lt;&gt;"",C281&lt;&gt;"",C281&lt;B281),"Cruza la medianoche. ","")&amp;IF(LEN(TRIM(F281))&lt;15,"Sin descripción suficiente. ","")&amp;IF(AND(ISERROR(SEARCH("R-0",F281)),ISERROR(SEARCH("CU-",F281))),"Sin ticket. ","")&amp;IF(ISNA(MATCH(E281,Datos!$E$8:$E$22,0)),"Proyecto sin valor hora. ","")&amp;IF(ISNA(MATCH(D281,Datos!$A$8:$A$22,0)),"Persona fuera del equipo. ","")))</f>
        <v/>
      </c>
      <c r="I281" s="21" t="n"/>
      <c r="J281" s="22" t="n"/>
      <c r="K281" s="23">
        <f>IF(G281="","",IF(J281&lt;&gt;"",MIN(J281,G281),IF(OR(I281="Observada",I281="Rechazada"),0,G281)))</f>
        <v/>
      </c>
      <c r="L281" s="24" t="n"/>
      <c r="M281" s="25">
        <f>IF(OR(A281="",D281=""),0,IF(COUNTIFS($A$2:A281,A281,$D$2:D281,D281)=1,1,0))</f>
        <v/>
      </c>
    </row>
    <row r="282">
      <c r="A282" s="26" t="n"/>
      <c r="B282" s="27" t="n"/>
      <c r="C282" s="27" t="n"/>
      <c r="D282" s="28" t="n"/>
      <c r="E282" s="28" t="n"/>
      <c r="F282" s="29" t="n"/>
      <c r="G282" s="30" t="n"/>
      <c r="H282" s="20">
        <f>IF(A282="","",TRIM(IF(WEEKDAY(A282,2)&gt;5,"Fin de semana. ","")&amp;IF(SUMIFS($G$2:$G$601,$A$2:$A$601,A282,$D$2:$D$601,D282)&gt;9,"Más de 9 h en el día. ","")&amp;IF(AND(B282&lt;&gt;"",C282&lt;&gt;"",C282&lt;B282),"Cruza la medianoche. ","")&amp;IF(LEN(TRIM(F282))&lt;15,"Sin descripción suficiente. ","")&amp;IF(AND(ISERROR(SEARCH("R-0",F282)),ISERROR(SEARCH("CU-",F282))),"Sin ticket. ","")&amp;IF(ISNA(MATCH(E282,Datos!$E$8:$E$22,0)),"Proyecto sin valor hora. ","")&amp;IF(ISNA(MATCH(D282,Datos!$A$8:$A$22,0)),"Persona fuera del equipo. ","")))</f>
        <v/>
      </c>
      <c r="I282" s="21" t="n"/>
      <c r="J282" s="22" t="n"/>
      <c r="K282" s="23">
        <f>IF(G282="","",IF(J282&lt;&gt;"",MIN(J282,G282),IF(OR(I282="Observada",I282="Rechazada"),0,G282)))</f>
        <v/>
      </c>
      <c r="L282" s="24" t="n"/>
      <c r="M282" s="25">
        <f>IF(OR(A282="",D282=""),0,IF(COUNTIFS($A$2:A282,A282,$D$2:D282,D282)=1,1,0))</f>
        <v/>
      </c>
    </row>
    <row r="283">
      <c r="A283" s="26" t="n"/>
      <c r="B283" s="27" t="n"/>
      <c r="C283" s="27" t="n"/>
      <c r="D283" s="28" t="n"/>
      <c r="E283" s="28" t="n"/>
      <c r="F283" s="29" t="n"/>
      <c r="G283" s="30" t="n"/>
      <c r="H283" s="20">
        <f>IF(A283="","",TRIM(IF(WEEKDAY(A283,2)&gt;5,"Fin de semana. ","")&amp;IF(SUMIFS($G$2:$G$601,$A$2:$A$601,A283,$D$2:$D$601,D283)&gt;9,"Más de 9 h en el día. ","")&amp;IF(AND(B283&lt;&gt;"",C283&lt;&gt;"",C283&lt;B283),"Cruza la medianoche. ","")&amp;IF(LEN(TRIM(F283))&lt;15,"Sin descripción suficiente. ","")&amp;IF(AND(ISERROR(SEARCH("R-0",F283)),ISERROR(SEARCH("CU-",F283))),"Sin ticket. ","")&amp;IF(ISNA(MATCH(E283,Datos!$E$8:$E$22,0)),"Proyecto sin valor hora. ","")&amp;IF(ISNA(MATCH(D283,Datos!$A$8:$A$22,0)),"Persona fuera del equipo. ","")))</f>
        <v/>
      </c>
      <c r="I283" s="21" t="n"/>
      <c r="J283" s="22" t="n"/>
      <c r="K283" s="23">
        <f>IF(G283="","",IF(J283&lt;&gt;"",MIN(J283,G283),IF(OR(I283="Observada",I283="Rechazada"),0,G283)))</f>
        <v/>
      </c>
      <c r="L283" s="24" t="n"/>
      <c r="M283" s="25">
        <f>IF(OR(A283="",D283=""),0,IF(COUNTIFS($A$2:A283,A283,$D$2:D283,D283)=1,1,0))</f>
        <v/>
      </c>
    </row>
    <row r="284">
      <c r="A284" s="26" t="n"/>
      <c r="B284" s="27" t="n"/>
      <c r="C284" s="27" t="n"/>
      <c r="D284" s="28" t="n"/>
      <c r="E284" s="28" t="n"/>
      <c r="F284" s="29" t="n"/>
      <c r="G284" s="30" t="n"/>
      <c r="H284" s="20">
        <f>IF(A284="","",TRIM(IF(WEEKDAY(A284,2)&gt;5,"Fin de semana. ","")&amp;IF(SUMIFS($G$2:$G$601,$A$2:$A$601,A284,$D$2:$D$601,D284)&gt;9,"Más de 9 h en el día. ","")&amp;IF(AND(B284&lt;&gt;"",C284&lt;&gt;"",C284&lt;B284),"Cruza la medianoche. ","")&amp;IF(LEN(TRIM(F284))&lt;15,"Sin descripción suficiente. ","")&amp;IF(AND(ISERROR(SEARCH("R-0",F284)),ISERROR(SEARCH("CU-",F284))),"Sin ticket. ","")&amp;IF(ISNA(MATCH(E284,Datos!$E$8:$E$22,0)),"Proyecto sin valor hora. ","")&amp;IF(ISNA(MATCH(D284,Datos!$A$8:$A$22,0)),"Persona fuera del equipo. ","")))</f>
        <v/>
      </c>
      <c r="I284" s="21" t="n"/>
      <c r="J284" s="22" t="n"/>
      <c r="K284" s="23">
        <f>IF(G284="","",IF(J284&lt;&gt;"",MIN(J284,G284),IF(OR(I284="Observada",I284="Rechazada"),0,G284)))</f>
        <v/>
      </c>
      <c r="L284" s="24" t="n"/>
      <c r="M284" s="25">
        <f>IF(OR(A284="",D284=""),0,IF(COUNTIFS($A$2:A284,A284,$D$2:D284,D284)=1,1,0))</f>
        <v/>
      </c>
    </row>
    <row r="285">
      <c r="A285" s="26" t="n"/>
      <c r="B285" s="27" t="n"/>
      <c r="C285" s="27" t="n"/>
      <c r="D285" s="28" t="n"/>
      <c r="E285" s="28" t="n"/>
      <c r="F285" s="29" t="n"/>
      <c r="G285" s="30" t="n"/>
      <c r="H285" s="20">
        <f>IF(A285="","",TRIM(IF(WEEKDAY(A285,2)&gt;5,"Fin de semana. ","")&amp;IF(SUMIFS($G$2:$G$601,$A$2:$A$601,A285,$D$2:$D$601,D285)&gt;9,"Más de 9 h en el día. ","")&amp;IF(AND(B285&lt;&gt;"",C285&lt;&gt;"",C285&lt;B285),"Cruza la medianoche. ","")&amp;IF(LEN(TRIM(F285))&lt;15,"Sin descripción suficiente. ","")&amp;IF(AND(ISERROR(SEARCH("R-0",F285)),ISERROR(SEARCH("CU-",F285))),"Sin ticket. ","")&amp;IF(ISNA(MATCH(E285,Datos!$E$8:$E$22,0)),"Proyecto sin valor hora. ","")&amp;IF(ISNA(MATCH(D285,Datos!$A$8:$A$22,0)),"Persona fuera del equipo. ","")))</f>
        <v/>
      </c>
      <c r="I285" s="21" t="n"/>
      <c r="J285" s="22" t="n"/>
      <c r="K285" s="23">
        <f>IF(G285="","",IF(J285&lt;&gt;"",MIN(J285,G285),IF(OR(I285="Observada",I285="Rechazada"),0,G285)))</f>
        <v/>
      </c>
      <c r="L285" s="24" t="n"/>
      <c r="M285" s="25">
        <f>IF(OR(A285="",D285=""),0,IF(COUNTIFS($A$2:A285,A285,$D$2:D285,D285)=1,1,0))</f>
        <v/>
      </c>
    </row>
    <row r="286">
      <c r="A286" s="26" t="n"/>
      <c r="B286" s="27" t="n"/>
      <c r="C286" s="27" t="n"/>
      <c r="D286" s="28" t="n"/>
      <c r="E286" s="28" t="n"/>
      <c r="F286" s="29" t="n"/>
      <c r="G286" s="30" t="n"/>
      <c r="H286" s="20">
        <f>IF(A286="","",TRIM(IF(WEEKDAY(A286,2)&gt;5,"Fin de semana. ","")&amp;IF(SUMIFS($G$2:$G$601,$A$2:$A$601,A286,$D$2:$D$601,D286)&gt;9,"Más de 9 h en el día. ","")&amp;IF(AND(B286&lt;&gt;"",C286&lt;&gt;"",C286&lt;B286),"Cruza la medianoche. ","")&amp;IF(LEN(TRIM(F286))&lt;15,"Sin descripción suficiente. ","")&amp;IF(AND(ISERROR(SEARCH("R-0",F286)),ISERROR(SEARCH("CU-",F286))),"Sin ticket. ","")&amp;IF(ISNA(MATCH(E286,Datos!$E$8:$E$22,0)),"Proyecto sin valor hora. ","")&amp;IF(ISNA(MATCH(D286,Datos!$A$8:$A$22,0)),"Persona fuera del equipo. ","")))</f>
        <v/>
      </c>
      <c r="I286" s="21" t="n"/>
      <c r="J286" s="22" t="n"/>
      <c r="K286" s="23">
        <f>IF(G286="","",IF(J286&lt;&gt;"",MIN(J286,G286),IF(OR(I286="Observada",I286="Rechazada"),0,G286)))</f>
        <v/>
      </c>
      <c r="L286" s="24" t="n"/>
      <c r="M286" s="25">
        <f>IF(OR(A286="",D286=""),0,IF(COUNTIFS($A$2:A286,A286,$D$2:D286,D286)=1,1,0))</f>
        <v/>
      </c>
    </row>
    <row r="287">
      <c r="A287" s="26" t="n"/>
      <c r="B287" s="27" t="n"/>
      <c r="C287" s="27" t="n"/>
      <c r="D287" s="28" t="n"/>
      <c r="E287" s="28" t="n"/>
      <c r="F287" s="29" t="n"/>
      <c r="G287" s="30" t="n"/>
      <c r="H287" s="20">
        <f>IF(A287="","",TRIM(IF(WEEKDAY(A287,2)&gt;5,"Fin de semana. ","")&amp;IF(SUMIFS($G$2:$G$601,$A$2:$A$601,A287,$D$2:$D$601,D287)&gt;9,"Más de 9 h en el día. ","")&amp;IF(AND(B287&lt;&gt;"",C287&lt;&gt;"",C287&lt;B287),"Cruza la medianoche. ","")&amp;IF(LEN(TRIM(F287))&lt;15,"Sin descripción suficiente. ","")&amp;IF(AND(ISERROR(SEARCH("R-0",F287)),ISERROR(SEARCH("CU-",F287))),"Sin ticket. ","")&amp;IF(ISNA(MATCH(E287,Datos!$E$8:$E$22,0)),"Proyecto sin valor hora. ","")&amp;IF(ISNA(MATCH(D287,Datos!$A$8:$A$22,0)),"Persona fuera del equipo. ","")))</f>
        <v/>
      </c>
      <c r="I287" s="21" t="n"/>
      <c r="J287" s="22" t="n"/>
      <c r="K287" s="23">
        <f>IF(G287="","",IF(J287&lt;&gt;"",MIN(J287,G287),IF(OR(I287="Observada",I287="Rechazada"),0,G287)))</f>
        <v/>
      </c>
      <c r="L287" s="24" t="n"/>
      <c r="M287" s="25">
        <f>IF(OR(A287="",D287=""),0,IF(COUNTIFS($A$2:A287,A287,$D$2:D287,D287)=1,1,0))</f>
        <v/>
      </c>
    </row>
    <row r="288">
      <c r="A288" s="26" t="n"/>
      <c r="B288" s="27" t="n"/>
      <c r="C288" s="27" t="n"/>
      <c r="D288" s="28" t="n"/>
      <c r="E288" s="28" t="n"/>
      <c r="F288" s="29" t="n"/>
      <c r="G288" s="30" t="n"/>
      <c r="H288" s="20">
        <f>IF(A288="","",TRIM(IF(WEEKDAY(A288,2)&gt;5,"Fin de semana. ","")&amp;IF(SUMIFS($G$2:$G$601,$A$2:$A$601,A288,$D$2:$D$601,D288)&gt;9,"Más de 9 h en el día. ","")&amp;IF(AND(B288&lt;&gt;"",C288&lt;&gt;"",C288&lt;B288),"Cruza la medianoche. ","")&amp;IF(LEN(TRIM(F288))&lt;15,"Sin descripción suficiente. ","")&amp;IF(AND(ISERROR(SEARCH("R-0",F288)),ISERROR(SEARCH("CU-",F288))),"Sin ticket. ","")&amp;IF(ISNA(MATCH(E288,Datos!$E$8:$E$22,0)),"Proyecto sin valor hora. ","")&amp;IF(ISNA(MATCH(D288,Datos!$A$8:$A$22,0)),"Persona fuera del equipo. ","")))</f>
        <v/>
      </c>
      <c r="I288" s="21" t="n"/>
      <c r="J288" s="22" t="n"/>
      <c r="K288" s="23">
        <f>IF(G288="","",IF(J288&lt;&gt;"",MIN(J288,G288),IF(OR(I288="Observada",I288="Rechazada"),0,G288)))</f>
        <v/>
      </c>
      <c r="L288" s="24" t="n"/>
      <c r="M288" s="25">
        <f>IF(OR(A288="",D288=""),0,IF(COUNTIFS($A$2:A288,A288,$D$2:D288,D288)=1,1,0))</f>
        <v/>
      </c>
    </row>
    <row r="289">
      <c r="A289" s="26" t="n"/>
      <c r="B289" s="27" t="n"/>
      <c r="C289" s="27" t="n"/>
      <c r="D289" s="28" t="n"/>
      <c r="E289" s="28" t="n"/>
      <c r="F289" s="29" t="n"/>
      <c r="G289" s="30" t="n"/>
      <c r="H289" s="20">
        <f>IF(A289="","",TRIM(IF(WEEKDAY(A289,2)&gt;5,"Fin de semana. ","")&amp;IF(SUMIFS($G$2:$G$601,$A$2:$A$601,A289,$D$2:$D$601,D289)&gt;9,"Más de 9 h en el día. ","")&amp;IF(AND(B289&lt;&gt;"",C289&lt;&gt;"",C289&lt;B289),"Cruza la medianoche. ","")&amp;IF(LEN(TRIM(F289))&lt;15,"Sin descripción suficiente. ","")&amp;IF(AND(ISERROR(SEARCH("R-0",F289)),ISERROR(SEARCH("CU-",F289))),"Sin ticket. ","")&amp;IF(ISNA(MATCH(E289,Datos!$E$8:$E$22,0)),"Proyecto sin valor hora. ","")&amp;IF(ISNA(MATCH(D289,Datos!$A$8:$A$22,0)),"Persona fuera del equipo. ","")))</f>
        <v/>
      </c>
      <c r="I289" s="21" t="n"/>
      <c r="J289" s="22" t="n"/>
      <c r="K289" s="23">
        <f>IF(G289="","",IF(J289&lt;&gt;"",MIN(J289,G289),IF(OR(I289="Observada",I289="Rechazada"),0,G289)))</f>
        <v/>
      </c>
      <c r="L289" s="24" t="n"/>
      <c r="M289" s="25">
        <f>IF(OR(A289="",D289=""),0,IF(COUNTIFS($A$2:A289,A289,$D$2:D289,D289)=1,1,0))</f>
        <v/>
      </c>
    </row>
    <row r="290">
      <c r="A290" s="26" t="n"/>
      <c r="B290" s="27" t="n"/>
      <c r="C290" s="27" t="n"/>
      <c r="D290" s="28" t="n"/>
      <c r="E290" s="28" t="n"/>
      <c r="F290" s="29" t="n"/>
      <c r="G290" s="30" t="n"/>
      <c r="H290" s="20">
        <f>IF(A290="","",TRIM(IF(WEEKDAY(A290,2)&gt;5,"Fin de semana. ","")&amp;IF(SUMIFS($G$2:$G$601,$A$2:$A$601,A290,$D$2:$D$601,D290)&gt;9,"Más de 9 h en el día. ","")&amp;IF(AND(B290&lt;&gt;"",C290&lt;&gt;"",C290&lt;B290),"Cruza la medianoche. ","")&amp;IF(LEN(TRIM(F290))&lt;15,"Sin descripción suficiente. ","")&amp;IF(AND(ISERROR(SEARCH("R-0",F290)),ISERROR(SEARCH("CU-",F290))),"Sin ticket. ","")&amp;IF(ISNA(MATCH(E290,Datos!$E$8:$E$22,0)),"Proyecto sin valor hora. ","")&amp;IF(ISNA(MATCH(D290,Datos!$A$8:$A$22,0)),"Persona fuera del equipo. ","")))</f>
        <v/>
      </c>
      <c r="I290" s="21" t="n"/>
      <c r="J290" s="22" t="n"/>
      <c r="K290" s="23">
        <f>IF(G290="","",IF(J290&lt;&gt;"",MIN(J290,G290),IF(OR(I290="Observada",I290="Rechazada"),0,G290)))</f>
        <v/>
      </c>
      <c r="L290" s="24" t="n"/>
      <c r="M290" s="25">
        <f>IF(OR(A290="",D290=""),0,IF(COUNTIFS($A$2:A290,A290,$D$2:D290,D290)=1,1,0))</f>
        <v/>
      </c>
    </row>
    <row r="291">
      <c r="A291" s="26" t="n"/>
      <c r="B291" s="27" t="n"/>
      <c r="C291" s="27" t="n"/>
      <c r="D291" s="28" t="n"/>
      <c r="E291" s="28" t="n"/>
      <c r="F291" s="29" t="n"/>
      <c r="G291" s="30" t="n"/>
      <c r="H291" s="20">
        <f>IF(A291="","",TRIM(IF(WEEKDAY(A291,2)&gt;5,"Fin de semana. ","")&amp;IF(SUMIFS($G$2:$G$601,$A$2:$A$601,A291,$D$2:$D$601,D291)&gt;9,"Más de 9 h en el día. ","")&amp;IF(AND(B291&lt;&gt;"",C291&lt;&gt;"",C291&lt;B291),"Cruza la medianoche. ","")&amp;IF(LEN(TRIM(F291))&lt;15,"Sin descripción suficiente. ","")&amp;IF(AND(ISERROR(SEARCH("R-0",F291)),ISERROR(SEARCH("CU-",F291))),"Sin ticket. ","")&amp;IF(ISNA(MATCH(E291,Datos!$E$8:$E$22,0)),"Proyecto sin valor hora. ","")&amp;IF(ISNA(MATCH(D291,Datos!$A$8:$A$22,0)),"Persona fuera del equipo. ","")))</f>
        <v/>
      </c>
      <c r="I291" s="21" t="n"/>
      <c r="J291" s="22" t="n"/>
      <c r="K291" s="23">
        <f>IF(G291="","",IF(J291&lt;&gt;"",MIN(J291,G291),IF(OR(I291="Observada",I291="Rechazada"),0,G291)))</f>
        <v/>
      </c>
      <c r="L291" s="24" t="n"/>
      <c r="M291" s="25">
        <f>IF(OR(A291="",D291=""),0,IF(COUNTIFS($A$2:A291,A291,$D$2:D291,D291)=1,1,0))</f>
        <v/>
      </c>
    </row>
    <row r="292">
      <c r="A292" s="26" t="n"/>
      <c r="B292" s="27" t="n"/>
      <c r="C292" s="27" t="n"/>
      <c r="D292" s="28" t="n"/>
      <c r="E292" s="28" t="n"/>
      <c r="F292" s="29" t="n"/>
      <c r="G292" s="30" t="n"/>
      <c r="H292" s="20">
        <f>IF(A292="","",TRIM(IF(WEEKDAY(A292,2)&gt;5,"Fin de semana. ","")&amp;IF(SUMIFS($G$2:$G$601,$A$2:$A$601,A292,$D$2:$D$601,D292)&gt;9,"Más de 9 h en el día. ","")&amp;IF(AND(B292&lt;&gt;"",C292&lt;&gt;"",C292&lt;B292),"Cruza la medianoche. ","")&amp;IF(LEN(TRIM(F292))&lt;15,"Sin descripción suficiente. ","")&amp;IF(AND(ISERROR(SEARCH("R-0",F292)),ISERROR(SEARCH("CU-",F292))),"Sin ticket. ","")&amp;IF(ISNA(MATCH(E292,Datos!$E$8:$E$22,0)),"Proyecto sin valor hora. ","")&amp;IF(ISNA(MATCH(D292,Datos!$A$8:$A$22,0)),"Persona fuera del equipo. ","")))</f>
        <v/>
      </c>
      <c r="I292" s="21" t="n"/>
      <c r="J292" s="22" t="n"/>
      <c r="K292" s="23">
        <f>IF(G292="","",IF(J292&lt;&gt;"",MIN(J292,G292),IF(OR(I292="Observada",I292="Rechazada"),0,G292)))</f>
        <v/>
      </c>
      <c r="L292" s="24" t="n"/>
      <c r="M292" s="25">
        <f>IF(OR(A292="",D292=""),0,IF(COUNTIFS($A$2:A292,A292,$D$2:D292,D292)=1,1,0))</f>
        <v/>
      </c>
    </row>
    <row r="293">
      <c r="A293" s="26" t="n"/>
      <c r="B293" s="27" t="n"/>
      <c r="C293" s="27" t="n"/>
      <c r="D293" s="28" t="n"/>
      <c r="E293" s="28" t="n"/>
      <c r="F293" s="29" t="n"/>
      <c r="G293" s="30" t="n"/>
      <c r="H293" s="20">
        <f>IF(A293="","",TRIM(IF(WEEKDAY(A293,2)&gt;5,"Fin de semana. ","")&amp;IF(SUMIFS($G$2:$G$601,$A$2:$A$601,A293,$D$2:$D$601,D293)&gt;9,"Más de 9 h en el día. ","")&amp;IF(AND(B293&lt;&gt;"",C293&lt;&gt;"",C293&lt;B293),"Cruza la medianoche. ","")&amp;IF(LEN(TRIM(F293))&lt;15,"Sin descripción suficiente. ","")&amp;IF(AND(ISERROR(SEARCH("R-0",F293)),ISERROR(SEARCH("CU-",F293))),"Sin ticket. ","")&amp;IF(ISNA(MATCH(E293,Datos!$E$8:$E$22,0)),"Proyecto sin valor hora. ","")&amp;IF(ISNA(MATCH(D293,Datos!$A$8:$A$22,0)),"Persona fuera del equipo. ","")))</f>
        <v/>
      </c>
      <c r="I293" s="21" t="n"/>
      <c r="J293" s="22" t="n"/>
      <c r="K293" s="23">
        <f>IF(G293="","",IF(J293&lt;&gt;"",MIN(J293,G293),IF(OR(I293="Observada",I293="Rechazada"),0,G293)))</f>
        <v/>
      </c>
      <c r="L293" s="24" t="n"/>
      <c r="M293" s="25">
        <f>IF(OR(A293="",D293=""),0,IF(COUNTIFS($A$2:A293,A293,$D$2:D293,D293)=1,1,0))</f>
        <v/>
      </c>
    </row>
    <row r="294">
      <c r="A294" s="26" t="n"/>
      <c r="B294" s="27" t="n"/>
      <c r="C294" s="27" t="n"/>
      <c r="D294" s="28" t="n"/>
      <c r="E294" s="28" t="n"/>
      <c r="F294" s="29" t="n"/>
      <c r="G294" s="30" t="n"/>
      <c r="H294" s="20">
        <f>IF(A294="","",TRIM(IF(WEEKDAY(A294,2)&gt;5,"Fin de semana. ","")&amp;IF(SUMIFS($G$2:$G$601,$A$2:$A$601,A294,$D$2:$D$601,D294)&gt;9,"Más de 9 h en el día. ","")&amp;IF(AND(B294&lt;&gt;"",C294&lt;&gt;"",C294&lt;B294),"Cruza la medianoche. ","")&amp;IF(LEN(TRIM(F294))&lt;15,"Sin descripción suficiente. ","")&amp;IF(AND(ISERROR(SEARCH("R-0",F294)),ISERROR(SEARCH("CU-",F294))),"Sin ticket. ","")&amp;IF(ISNA(MATCH(E294,Datos!$E$8:$E$22,0)),"Proyecto sin valor hora. ","")&amp;IF(ISNA(MATCH(D294,Datos!$A$8:$A$22,0)),"Persona fuera del equipo. ","")))</f>
        <v/>
      </c>
      <c r="I294" s="21" t="n"/>
      <c r="J294" s="22" t="n"/>
      <c r="K294" s="23">
        <f>IF(G294="","",IF(J294&lt;&gt;"",MIN(J294,G294),IF(OR(I294="Observada",I294="Rechazada"),0,G294)))</f>
        <v/>
      </c>
      <c r="L294" s="24" t="n"/>
      <c r="M294" s="25">
        <f>IF(OR(A294="",D294=""),0,IF(COUNTIFS($A$2:A294,A294,$D$2:D294,D294)=1,1,0))</f>
        <v/>
      </c>
    </row>
    <row r="295">
      <c r="A295" s="26" t="n"/>
      <c r="B295" s="27" t="n"/>
      <c r="C295" s="27" t="n"/>
      <c r="D295" s="28" t="n"/>
      <c r="E295" s="28" t="n"/>
      <c r="F295" s="29" t="n"/>
      <c r="G295" s="30" t="n"/>
      <c r="H295" s="20">
        <f>IF(A295="","",TRIM(IF(WEEKDAY(A295,2)&gt;5,"Fin de semana. ","")&amp;IF(SUMIFS($G$2:$G$601,$A$2:$A$601,A295,$D$2:$D$601,D295)&gt;9,"Más de 9 h en el día. ","")&amp;IF(AND(B295&lt;&gt;"",C295&lt;&gt;"",C295&lt;B295),"Cruza la medianoche. ","")&amp;IF(LEN(TRIM(F295))&lt;15,"Sin descripción suficiente. ","")&amp;IF(AND(ISERROR(SEARCH("R-0",F295)),ISERROR(SEARCH("CU-",F295))),"Sin ticket. ","")&amp;IF(ISNA(MATCH(E295,Datos!$E$8:$E$22,0)),"Proyecto sin valor hora. ","")&amp;IF(ISNA(MATCH(D295,Datos!$A$8:$A$22,0)),"Persona fuera del equipo. ","")))</f>
        <v/>
      </c>
      <c r="I295" s="21" t="n"/>
      <c r="J295" s="22" t="n"/>
      <c r="K295" s="23">
        <f>IF(G295="","",IF(J295&lt;&gt;"",MIN(J295,G295),IF(OR(I295="Observada",I295="Rechazada"),0,G295)))</f>
        <v/>
      </c>
      <c r="L295" s="24" t="n"/>
      <c r="M295" s="25">
        <f>IF(OR(A295="",D295=""),0,IF(COUNTIFS($A$2:A295,A295,$D$2:D295,D295)=1,1,0))</f>
        <v/>
      </c>
    </row>
    <row r="296">
      <c r="A296" s="26" t="n"/>
      <c r="B296" s="27" t="n"/>
      <c r="C296" s="27" t="n"/>
      <c r="D296" s="28" t="n"/>
      <c r="E296" s="28" t="n"/>
      <c r="F296" s="29" t="n"/>
      <c r="G296" s="30" t="n"/>
      <c r="H296" s="20">
        <f>IF(A296="","",TRIM(IF(WEEKDAY(A296,2)&gt;5,"Fin de semana. ","")&amp;IF(SUMIFS($G$2:$G$601,$A$2:$A$601,A296,$D$2:$D$601,D296)&gt;9,"Más de 9 h en el día. ","")&amp;IF(AND(B296&lt;&gt;"",C296&lt;&gt;"",C296&lt;B296),"Cruza la medianoche. ","")&amp;IF(LEN(TRIM(F296))&lt;15,"Sin descripción suficiente. ","")&amp;IF(AND(ISERROR(SEARCH("R-0",F296)),ISERROR(SEARCH("CU-",F296))),"Sin ticket. ","")&amp;IF(ISNA(MATCH(E296,Datos!$E$8:$E$22,0)),"Proyecto sin valor hora. ","")&amp;IF(ISNA(MATCH(D296,Datos!$A$8:$A$22,0)),"Persona fuera del equipo. ","")))</f>
        <v/>
      </c>
      <c r="I296" s="21" t="n"/>
      <c r="J296" s="22" t="n"/>
      <c r="K296" s="23">
        <f>IF(G296="","",IF(J296&lt;&gt;"",MIN(J296,G296),IF(OR(I296="Observada",I296="Rechazada"),0,G296)))</f>
        <v/>
      </c>
      <c r="L296" s="24" t="n"/>
      <c r="M296" s="25">
        <f>IF(OR(A296="",D296=""),0,IF(COUNTIFS($A$2:A296,A296,$D$2:D296,D296)=1,1,0))</f>
        <v/>
      </c>
    </row>
    <row r="297">
      <c r="A297" s="26" t="n"/>
      <c r="B297" s="27" t="n"/>
      <c r="C297" s="27" t="n"/>
      <c r="D297" s="28" t="n"/>
      <c r="E297" s="28" t="n"/>
      <c r="F297" s="29" t="n"/>
      <c r="G297" s="30" t="n"/>
      <c r="H297" s="20">
        <f>IF(A297="","",TRIM(IF(WEEKDAY(A297,2)&gt;5,"Fin de semana. ","")&amp;IF(SUMIFS($G$2:$G$601,$A$2:$A$601,A297,$D$2:$D$601,D297)&gt;9,"Más de 9 h en el día. ","")&amp;IF(AND(B297&lt;&gt;"",C297&lt;&gt;"",C297&lt;B297),"Cruza la medianoche. ","")&amp;IF(LEN(TRIM(F297))&lt;15,"Sin descripción suficiente. ","")&amp;IF(AND(ISERROR(SEARCH("R-0",F297)),ISERROR(SEARCH("CU-",F297))),"Sin ticket. ","")&amp;IF(ISNA(MATCH(E297,Datos!$E$8:$E$22,0)),"Proyecto sin valor hora. ","")&amp;IF(ISNA(MATCH(D297,Datos!$A$8:$A$22,0)),"Persona fuera del equipo. ","")))</f>
        <v/>
      </c>
      <c r="I297" s="21" t="n"/>
      <c r="J297" s="22" t="n"/>
      <c r="K297" s="23">
        <f>IF(G297="","",IF(J297&lt;&gt;"",MIN(J297,G297),IF(OR(I297="Observada",I297="Rechazada"),0,G297)))</f>
        <v/>
      </c>
      <c r="L297" s="24" t="n"/>
      <c r="M297" s="25">
        <f>IF(OR(A297="",D297=""),0,IF(COUNTIFS($A$2:A297,A297,$D$2:D297,D297)=1,1,0))</f>
        <v/>
      </c>
    </row>
    <row r="298">
      <c r="A298" s="26" t="n"/>
      <c r="B298" s="27" t="n"/>
      <c r="C298" s="27" t="n"/>
      <c r="D298" s="28" t="n"/>
      <c r="E298" s="28" t="n"/>
      <c r="F298" s="29" t="n"/>
      <c r="G298" s="30" t="n"/>
      <c r="H298" s="20">
        <f>IF(A298="","",TRIM(IF(WEEKDAY(A298,2)&gt;5,"Fin de semana. ","")&amp;IF(SUMIFS($G$2:$G$601,$A$2:$A$601,A298,$D$2:$D$601,D298)&gt;9,"Más de 9 h en el día. ","")&amp;IF(AND(B298&lt;&gt;"",C298&lt;&gt;"",C298&lt;B298),"Cruza la medianoche. ","")&amp;IF(LEN(TRIM(F298))&lt;15,"Sin descripción suficiente. ","")&amp;IF(AND(ISERROR(SEARCH("R-0",F298)),ISERROR(SEARCH("CU-",F298))),"Sin ticket. ","")&amp;IF(ISNA(MATCH(E298,Datos!$E$8:$E$22,0)),"Proyecto sin valor hora. ","")&amp;IF(ISNA(MATCH(D298,Datos!$A$8:$A$22,0)),"Persona fuera del equipo. ","")))</f>
        <v/>
      </c>
      <c r="I298" s="21" t="n"/>
      <c r="J298" s="22" t="n"/>
      <c r="K298" s="23">
        <f>IF(G298="","",IF(J298&lt;&gt;"",MIN(J298,G298),IF(OR(I298="Observada",I298="Rechazada"),0,G298)))</f>
        <v/>
      </c>
      <c r="L298" s="24" t="n"/>
      <c r="M298" s="25">
        <f>IF(OR(A298="",D298=""),0,IF(COUNTIFS($A$2:A298,A298,$D$2:D298,D298)=1,1,0))</f>
        <v/>
      </c>
    </row>
    <row r="299">
      <c r="A299" s="26" t="n"/>
      <c r="B299" s="27" t="n"/>
      <c r="C299" s="27" t="n"/>
      <c r="D299" s="28" t="n"/>
      <c r="E299" s="28" t="n"/>
      <c r="F299" s="29" t="n"/>
      <c r="G299" s="30" t="n"/>
      <c r="H299" s="20">
        <f>IF(A299="","",TRIM(IF(WEEKDAY(A299,2)&gt;5,"Fin de semana. ","")&amp;IF(SUMIFS($G$2:$G$601,$A$2:$A$601,A299,$D$2:$D$601,D299)&gt;9,"Más de 9 h en el día. ","")&amp;IF(AND(B299&lt;&gt;"",C299&lt;&gt;"",C299&lt;B299),"Cruza la medianoche. ","")&amp;IF(LEN(TRIM(F299))&lt;15,"Sin descripción suficiente. ","")&amp;IF(AND(ISERROR(SEARCH("R-0",F299)),ISERROR(SEARCH("CU-",F299))),"Sin ticket. ","")&amp;IF(ISNA(MATCH(E299,Datos!$E$8:$E$22,0)),"Proyecto sin valor hora. ","")&amp;IF(ISNA(MATCH(D299,Datos!$A$8:$A$22,0)),"Persona fuera del equipo. ","")))</f>
        <v/>
      </c>
      <c r="I299" s="21" t="n"/>
      <c r="J299" s="22" t="n"/>
      <c r="K299" s="23">
        <f>IF(G299="","",IF(J299&lt;&gt;"",MIN(J299,G299),IF(OR(I299="Observada",I299="Rechazada"),0,G299)))</f>
        <v/>
      </c>
      <c r="L299" s="24" t="n"/>
      <c r="M299" s="25">
        <f>IF(OR(A299="",D299=""),0,IF(COUNTIFS($A$2:A299,A299,$D$2:D299,D299)=1,1,0))</f>
        <v/>
      </c>
    </row>
    <row r="300">
      <c r="A300" s="26" t="n"/>
      <c r="B300" s="27" t="n"/>
      <c r="C300" s="27" t="n"/>
      <c r="D300" s="28" t="n"/>
      <c r="E300" s="28" t="n"/>
      <c r="F300" s="29" t="n"/>
      <c r="G300" s="30" t="n"/>
      <c r="H300" s="20">
        <f>IF(A300="","",TRIM(IF(WEEKDAY(A300,2)&gt;5,"Fin de semana. ","")&amp;IF(SUMIFS($G$2:$G$601,$A$2:$A$601,A300,$D$2:$D$601,D300)&gt;9,"Más de 9 h en el día. ","")&amp;IF(AND(B300&lt;&gt;"",C300&lt;&gt;"",C300&lt;B300),"Cruza la medianoche. ","")&amp;IF(LEN(TRIM(F300))&lt;15,"Sin descripción suficiente. ","")&amp;IF(AND(ISERROR(SEARCH("R-0",F300)),ISERROR(SEARCH("CU-",F300))),"Sin ticket. ","")&amp;IF(ISNA(MATCH(E300,Datos!$E$8:$E$22,0)),"Proyecto sin valor hora. ","")&amp;IF(ISNA(MATCH(D300,Datos!$A$8:$A$22,0)),"Persona fuera del equipo. ","")))</f>
        <v/>
      </c>
      <c r="I300" s="21" t="n"/>
      <c r="J300" s="22" t="n"/>
      <c r="K300" s="23">
        <f>IF(G300="","",IF(J300&lt;&gt;"",MIN(J300,G300),IF(OR(I300="Observada",I300="Rechazada"),0,G300)))</f>
        <v/>
      </c>
      <c r="L300" s="24" t="n"/>
      <c r="M300" s="25">
        <f>IF(OR(A300="",D300=""),0,IF(COUNTIFS($A$2:A300,A300,$D$2:D300,D300)=1,1,0))</f>
        <v/>
      </c>
    </row>
    <row r="301">
      <c r="A301" s="26" t="n"/>
      <c r="B301" s="27" t="n"/>
      <c r="C301" s="27" t="n"/>
      <c r="D301" s="28" t="n"/>
      <c r="E301" s="28" t="n"/>
      <c r="F301" s="29" t="n"/>
      <c r="G301" s="30" t="n"/>
      <c r="H301" s="20">
        <f>IF(A301="","",TRIM(IF(WEEKDAY(A301,2)&gt;5,"Fin de semana. ","")&amp;IF(SUMIFS($G$2:$G$601,$A$2:$A$601,A301,$D$2:$D$601,D301)&gt;9,"Más de 9 h en el día. ","")&amp;IF(AND(B301&lt;&gt;"",C301&lt;&gt;"",C301&lt;B301),"Cruza la medianoche. ","")&amp;IF(LEN(TRIM(F301))&lt;15,"Sin descripción suficiente. ","")&amp;IF(AND(ISERROR(SEARCH("R-0",F301)),ISERROR(SEARCH("CU-",F301))),"Sin ticket. ","")&amp;IF(ISNA(MATCH(E301,Datos!$E$8:$E$22,0)),"Proyecto sin valor hora. ","")&amp;IF(ISNA(MATCH(D301,Datos!$A$8:$A$22,0)),"Persona fuera del equipo. ","")))</f>
        <v/>
      </c>
      <c r="I301" s="21" t="n"/>
      <c r="J301" s="22" t="n"/>
      <c r="K301" s="23">
        <f>IF(G301="","",IF(J301&lt;&gt;"",MIN(J301,G301),IF(OR(I301="Observada",I301="Rechazada"),0,G301)))</f>
        <v/>
      </c>
      <c r="L301" s="24" t="n"/>
      <c r="M301" s="25">
        <f>IF(OR(A301="",D301=""),0,IF(COUNTIFS($A$2:A301,A301,$D$2:D301,D301)=1,1,0))</f>
        <v/>
      </c>
    </row>
    <row r="302">
      <c r="A302" s="26" t="n"/>
      <c r="B302" s="27" t="n"/>
      <c r="C302" s="27" t="n"/>
      <c r="D302" s="28" t="n"/>
      <c r="E302" s="28" t="n"/>
      <c r="F302" s="29" t="n"/>
      <c r="G302" s="30" t="n"/>
      <c r="H302" s="20">
        <f>IF(A302="","",TRIM(IF(WEEKDAY(A302,2)&gt;5,"Fin de semana. ","")&amp;IF(SUMIFS($G$2:$G$601,$A$2:$A$601,A302,$D$2:$D$601,D302)&gt;9,"Más de 9 h en el día. ","")&amp;IF(AND(B302&lt;&gt;"",C302&lt;&gt;"",C302&lt;B302),"Cruza la medianoche. ","")&amp;IF(LEN(TRIM(F302))&lt;15,"Sin descripción suficiente. ","")&amp;IF(AND(ISERROR(SEARCH("R-0",F302)),ISERROR(SEARCH("CU-",F302))),"Sin ticket. ","")&amp;IF(ISNA(MATCH(E302,Datos!$E$8:$E$22,0)),"Proyecto sin valor hora. ","")&amp;IF(ISNA(MATCH(D302,Datos!$A$8:$A$22,0)),"Persona fuera del equipo. ","")))</f>
        <v/>
      </c>
      <c r="I302" s="21" t="n"/>
      <c r="J302" s="22" t="n"/>
      <c r="K302" s="23">
        <f>IF(G302="","",IF(J302&lt;&gt;"",MIN(J302,G302),IF(OR(I302="Observada",I302="Rechazada"),0,G302)))</f>
        <v/>
      </c>
      <c r="L302" s="24" t="n"/>
      <c r="M302" s="25">
        <f>IF(OR(A302="",D302=""),0,IF(COUNTIFS($A$2:A302,A302,$D$2:D302,D302)=1,1,0))</f>
        <v/>
      </c>
    </row>
    <row r="303">
      <c r="A303" s="26" t="n"/>
      <c r="B303" s="27" t="n"/>
      <c r="C303" s="27" t="n"/>
      <c r="D303" s="28" t="n"/>
      <c r="E303" s="28" t="n"/>
      <c r="F303" s="29" t="n"/>
      <c r="G303" s="30" t="n"/>
      <c r="H303" s="20">
        <f>IF(A303="","",TRIM(IF(WEEKDAY(A303,2)&gt;5,"Fin de semana. ","")&amp;IF(SUMIFS($G$2:$G$601,$A$2:$A$601,A303,$D$2:$D$601,D303)&gt;9,"Más de 9 h en el día. ","")&amp;IF(AND(B303&lt;&gt;"",C303&lt;&gt;"",C303&lt;B303),"Cruza la medianoche. ","")&amp;IF(LEN(TRIM(F303))&lt;15,"Sin descripción suficiente. ","")&amp;IF(AND(ISERROR(SEARCH("R-0",F303)),ISERROR(SEARCH("CU-",F303))),"Sin ticket. ","")&amp;IF(ISNA(MATCH(E303,Datos!$E$8:$E$22,0)),"Proyecto sin valor hora. ","")&amp;IF(ISNA(MATCH(D303,Datos!$A$8:$A$22,0)),"Persona fuera del equipo. ","")))</f>
        <v/>
      </c>
      <c r="I303" s="21" t="n"/>
      <c r="J303" s="22" t="n"/>
      <c r="K303" s="23">
        <f>IF(G303="","",IF(J303&lt;&gt;"",MIN(J303,G303),IF(OR(I303="Observada",I303="Rechazada"),0,G303)))</f>
        <v/>
      </c>
      <c r="L303" s="24" t="n"/>
      <c r="M303" s="25">
        <f>IF(OR(A303="",D303=""),0,IF(COUNTIFS($A$2:A303,A303,$D$2:D303,D303)=1,1,0))</f>
        <v/>
      </c>
    </row>
    <row r="304">
      <c r="A304" s="26" t="n"/>
      <c r="B304" s="27" t="n"/>
      <c r="C304" s="27" t="n"/>
      <c r="D304" s="28" t="n"/>
      <c r="E304" s="28" t="n"/>
      <c r="F304" s="29" t="n"/>
      <c r="G304" s="30" t="n"/>
      <c r="H304" s="20">
        <f>IF(A304="","",TRIM(IF(WEEKDAY(A304,2)&gt;5,"Fin de semana. ","")&amp;IF(SUMIFS($G$2:$G$601,$A$2:$A$601,A304,$D$2:$D$601,D304)&gt;9,"Más de 9 h en el día. ","")&amp;IF(AND(B304&lt;&gt;"",C304&lt;&gt;"",C304&lt;B304),"Cruza la medianoche. ","")&amp;IF(LEN(TRIM(F304))&lt;15,"Sin descripción suficiente. ","")&amp;IF(AND(ISERROR(SEARCH("R-0",F304)),ISERROR(SEARCH("CU-",F304))),"Sin ticket. ","")&amp;IF(ISNA(MATCH(E304,Datos!$E$8:$E$22,0)),"Proyecto sin valor hora. ","")&amp;IF(ISNA(MATCH(D304,Datos!$A$8:$A$22,0)),"Persona fuera del equipo. ","")))</f>
        <v/>
      </c>
      <c r="I304" s="21" t="n"/>
      <c r="J304" s="22" t="n"/>
      <c r="K304" s="23">
        <f>IF(G304="","",IF(J304&lt;&gt;"",MIN(J304,G304),IF(OR(I304="Observada",I304="Rechazada"),0,G304)))</f>
        <v/>
      </c>
      <c r="L304" s="24" t="n"/>
      <c r="M304" s="25">
        <f>IF(OR(A304="",D304=""),0,IF(COUNTIFS($A$2:A304,A304,$D$2:D304,D304)=1,1,0))</f>
        <v/>
      </c>
    </row>
    <row r="305">
      <c r="A305" s="26" t="n"/>
      <c r="B305" s="27" t="n"/>
      <c r="C305" s="27" t="n"/>
      <c r="D305" s="28" t="n"/>
      <c r="E305" s="28" t="n"/>
      <c r="F305" s="29" t="n"/>
      <c r="G305" s="30" t="n"/>
      <c r="H305" s="20">
        <f>IF(A305="","",TRIM(IF(WEEKDAY(A305,2)&gt;5,"Fin de semana. ","")&amp;IF(SUMIFS($G$2:$G$601,$A$2:$A$601,A305,$D$2:$D$601,D305)&gt;9,"Más de 9 h en el día. ","")&amp;IF(AND(B305&lt;&gt;"",C305&lt;&gt;"",C305&lt;B305),"Cruza la medianoche. ","")&amp;IF(LEN(TRIM(F305))&lt;15,"Sin descripción suficiente. ","")&amp;IF(AND(ISERROR(SEARCH("R-0",F305)),ISERROR(SEARCH("CU-",F305))),"Sin ticket. ","")&amp;IF(ISNA(MATCH(E305,Datos!$E$8:$E$22,0)),"Proyecto sin valor hora. ","")&amp;IF(ISNA(MATCH(D305,Datos!$A$8:$A$22,0)),"Persona fuera del equipo. ","")))</f>
        <v/>
      </c>
      <c r="I305" s="21" t="n"/>
      <c r="J305" s="22" t="n"/>
      <c r="K305" s="23">
        <f>IF(G305="","",IF(J305&lt;&gt;"",MIN(J305,G305),IF(OR(I305="Observada",I305="Rechazada"),0,G305)))</f>
        <v/>
      </c>
      <c r="L305" s="24" t="n"/>
      <c r="M305" s="25">
        <f>IF(OR(A305="",D305=""),0,IF(COUNTIFS($A$2:A305,A305,$D$2:D305,D305)=1,1,0))</f>
        <v/>
      </c>
    </row>
    <row r="306">
      <c r="A306" s="26" t="n"/>
      <c r="B306" s="27" t="n"/>
      <c r="C306" s="27" t="n"/>
      <c r="D306" s="28" t="n"/>
      <c r="E306" s="28" t="n"/>
      <c r="F306" s="29" t="n"/>
      <c r="G306" s="30" t="n"/>
      <c r="H306" s="20">
        <f>IF(A306="","",TRIM(IF(WEEKDAY(A306,2)&gt;5,"Fin de semana. ","")&amp;IF(SUMIFS($G$2:$G$601,$A$2:$A$601,A306,$D$2:$D$601,D306)&gt;9,"Más de 9 h en el día. ","")&amp;IF(AND(B306&lt;&gt;"",C306&lt;&gt;"",C306&lt;B306),"Cruza la medianoche. ","")&amp;IF(LEN(TRIM(F306))&lt;15,"Sin descripción suficiente. ","")&amp;IF(AND(ISERROR(SEARCH("R-0",F306)),ISERROR(SEARCH("CU-",F306))),"Sin ticket. ","")&amp;IF(ISNA(MATCH(E306,Datos!$E$8:$E$22,0)),"Proyecto sin valor hora. ","")&amp;IF(ISNA(MATCH(D306,Datos!$A$8:$A$22,0)),"Persona fuera del equipo. ","")))</f>
        <v/>
      </c>
      <c r="I306" s="21" t="n"/>
      <c r="J306" s="22" t="n"/>
      <c r="K306" s="23">
        <f>IF(G306="","",IF(J306&lt;&gt;"",MIN(J306,G306),IF(OR(I306="Observada",I306="Rechazada"),0,G306)))</f>
        <v/>
      </c>
      <c r="L306" s="24" t="n"/>
      <c r="M306" s="25">
        <f>IF(OR(A306="",D306=""),0,IF(COUNTIFS($A$2:A306,A306,$D$2:D306,D306)=1,1,0))</f>
        <v/>
      </c>
    </row>
    <row r="307">
      <c r="A307" s="26" t="n"/>
      <c r="B307" s="27" t="n"/>
      <c r="C307" s="27" t="n"/>
      <c r="D307" s="28" t="n"/>
      <c r="E307" s="28" t="n"/>
      <c r="F307" s="29" t="n"/>
      <c r="G307" s="30" t="n"/>
      <c r="H307" s="20">
        <f>IF(A307="","",TRIM(IF(WEEKDAY(A307,2)&gt;5,"Fin de semana. ","")&amp;IF(SUMIFS($G$2:$G$601,$A$2:$A$601,A307,$D$2:$D$601,D307)&gt;9,"Más de 9 h en el día. ","")&amp;IF(AND(B307&lt;&gt;"",C307&lt;&gt;"",C307&lt;B307),"Cruza la medianoche. ","")&amp;IF(LEN(TRIM(F307))&lt;15,"Sin descripción suficiente. ","")&amp;IF(AND(ISERROR(SEARCH("R-0",F307)),ISERROR(SEARCH("CU-",F307))),"Sin ticket. ","")&amp;IF(ISNA(MATCH(E307,Datos!$E$8:$E$22,0)),"Proyecto sin valor hora. ","")&amp;IF(ISNA(MATCH(D307,Datos!$A$8:$A$22,0)),"Persona fuera del equipo. ","")))</f>
        <v/>
      </c>
      <c r="I307" s="21" t="n"/>
      <c r="J307" s="22" t="n"/>
      <c r="K307" s="23">
        <f>IF(G307="","",IF(J307&lt;&gt;"",MIN(J307,G307),IF(OR(I307="Observada",I307="Rechazada"),0,G307)))</f>
        <v/>
      </c>
      <c r="L307" s="24" t="n"/>
      <c r="M307" s="25">
        <f>IF(OR(A307="",D307=""),0,IF(COUNTIFS($A$2:A307,A307,$D$2:D307,D307)=1,1,0))</f>
        <v/>
      </c>
    </row>
    <row r="308">
      <c r="A308" s="26" t="n"/>
      <c r="B308" s="27" t="n"/>
      <c r="C308" s="27" t="n"/>
      <c r="D308" s="28" t="n"/>
      <c r="E308" s="28" t="n"/>
      <c r="F308" s="29" t="n"/>
      <c r="G308" s="30" t="n"/>
      <c r="H308" s="20">
        <f>IF(A308="","",TRIM(IF(WEEKDAY(A308,2)&gt;5,"Fin de semana. ","")&amp;IF(SUMIFS($G$2:$G$601,$A$2:$A$601,A308,$D$2:$D$601,D308)&gt;9,"Más de 9 h en el día. ","")&amp;IF(AND(B308&lt;&gt;"",C308&lt;&gt;"",C308&lt;B308),"Cruza la medianoche. ","")&amp;IF(LEN(TRIM(F308))&lt;15,"Sin descripción suficiente. ","")&amp;IF(AND(ISERROR(SEARCH("R-0",F308)),ISERROR(SEARCH("CU-",F308))),"Sin ticket. ","")&amp;IF(ISNA(MATCH(E308,Datos!$E$8:$E$22,0)),"Proyecto sin valor hora. ","")&amp;IF(ISNA(MATCH(D308,Datos!$A$8:$A$22,0)),"Persona fuera del equipo. ","")))</f>
        <v/>
      </c>
      <c r="I308" s="21" t="n"/>
      <c r="J308" s="22" t="n"/>
      <c r="K308" s="23">
        <f>IF(G308="","",IF(J308&lt;&gt;"",MIN(J308,G308),IF(OR(I308="Observada",I308="Rechazada"),0,G308)))</f>
        <v/>
      </c>
      <c r="L308" s="24" t="n"/>
      <c r="M308" s="25">
        <f>IF(OR(A308="",D308=""),0,IF(COUNTIFS($A$2:A308,A308,$D$2:D308,D308)=1,1,0))</f>
        <v/>
      </c>
    </row>
    <row r="309">
      <c r="A309" s="26" t="n"/>
      <c r="B309" s="27" t="n"/>
      <c r="C309" s="27" t="n"/>
      <c r="D309" s="28" t="n"/>
      <c r="E309" s="28" t="n"/>
      <c r="F309" s="29" t="n"/>
      <c r="G309" s="30" t="n"/>
      <c r="H309" s="20">
        <f>IF(A309="","",TRIM(IF(WEEKDAY(A309,2)&gt;5,"Fin de semana. ","")&amp;IF(SUMIFS($G$2:$G$601,$A$2:$A$601,A309,$D$2:$D$601,D309)&gt;9,"Más de 9 h en el día. ","")&amp;IF(AND(B309&lt;&gt;"",C309&lt;&gt;"",C309&lt;B309),"Cruza la medianoche. ","")&amp;IF(LEN(TRIM(F309))&lt;15,"Sin descripción suficiente. ","")&amp;IF(AND(ISERROR(SEARCH("R-0",F309)),ISERROR(SEARCH("CU-",F309))),"Sin ticket. ","")&amp;IF(ISNA(MATCH(E309,Datos!$E$8:$E$22,0)),"Proyecto sin valor hora. ","")&amp;IF(ISNA(MATCH(D309,Datos!$A$8:$A$22,0)),"Persona fuera del equipo. ","")))</f>
        <v/>
      </c>
      <c r="I309" s="21" t="n"/>
      <c r="J309" s="22" t="n"/>
      <c r="K309" s="23">
        <f>IF(G309="","",IF(J309&lt;&gt;"",MIN(J309,G309),IF(OR(I309="Observada",I309="Rechazada"),0,G309)))</f>
        <v/>
      </c>
      <c r="L309" s="24" t="n"/>
      <c r="M309" s="25">
        <f>IF(OR(A309="",D309=""),0,IF(COUNTIFS($A$2:A309,A309,$D$2:D309,D309)=1,1,0))</f>
        <v/>
      </c>
    </row>
    <row r="310">
      <c r="A310" s="26" t="n"/>
      <c r="B310" s="27" t="n"/>
      <c r="C310" s="27" t="n"/>
      <c r="D310" s="28" t="n"/>
      <c r="E310" s="28" t="n"/>
      <c r="F310" s="29" t="n"/>
      <c r="G310" s="30" t="n"/>
      <c r="H310" s="20">
        <f>IF(A310="","",TRIM(IF(WEEKDAY(A310,2)&gt;5,"Fin de semana. ","")&amp;IF(SUMIFS($G$2:$G$601,$A$2:$A$601,A310,$D$2:$D$601,D310)&gt;9,"Más de 9 h en el día. ","")&amp;IF(AND(B310&lt;&gt;"",C310&lt;&gt;"",C310&lt;B310),"Cruza la medianoche. ","")&amp;IF(LEN(TRIM(F310))&lt;15,"Sin descripción suficiente. ","")&amp;IF(AND(ISERROR(SEARCH("R-0",F310)),ISERROR(SEARCH("CU-",F310))),"Sin ticket. ","")&amp;IF(ISNA(MATCH(E310,Datos!$E$8:$E$22,0)),"Proyecto sin valor hora. ","")&amp;IF(ISNA(MATCH(D310,Datos!$A$8:$A$22,0)),"Persona fuera del equipo. ","")))</f>
        <v/>
      </c>
      <c r="I310" s="21" t="n"/>
      <c r="J310" s="22" t="n"/>
      <c r="K310" s="23">
        <f>IF(G310="","",IF(J310&lt;&gt;"",MIN(J310,G310),IF(OR(I310="Observada",I310="Rechazada"),0,G310)))</f>
        <v/>
      </c>
      <c r="L310" s="24" t="n"/>
      <c r="M310" s="25">
        <f>IF(OR(A310="",D310=""),0,IF(COUNTIFS($A$2:A310,A310,$D$2:D310,D310)=1,1,0))</f>
        <v/>
      </c>
    </row>
    <row r="311">
      <c r="A311" s="26" t="n"/>
      <c r="B311" s="27" t="n"/>
      <c r="C311" s="27" t="n"/>
      <c r="D311" s="28" t="n"/>
      <c r="E311" s="28" t="n"/>
      <c r="F311" s="29" t="n"/>
      <c r="G311" s="30" t="n"/>
      <c r="H311" s="20">
        <f>IF(A311="","",TRIM(IF(WEEKDAY(A311,2)&gt;5,"Fin de semana. ","")&amp;IF(SUMIFS($G$2:$G$601,$A$2:$A$601,A311,$D$2:$D$601,D311)&gt;9,"Más de 9 h en el día. ","")&amp;IF(AND(B311&lt;&gt;"",C311&lt;&gt;"",C311&lt;B311),"Cruza la medianoche. ","")&amp;IF(LEN(TRIM(F311))&lt;15,"Sin descripción suficiente. ","")&amp;IF(AND(ISERROR(SEARCH("R-0",F311)),ISERROR(SEARCH("CU-",F311))),"Sin ticket. ","")&amp;IF(ISNA(MATCH(E311,Datos!$E$8:$E$22,0)),"Proyecto sin valor hora. ","")&amp;IF(ISNA(MATCH(D311,Datos!$A$8:$A$22,0)),"Persona fuera del equipo. ","")))</f>
        <v/>
      </c>
      <c r="I311" s="21" t="n"/>
      <c r="J311" s="22" t="n"/>
      <c r="K311" s="23">
        <f>IF(G311="","",IF(J311&lt;&gt;"",MIN(J311,G311),IF(OR(I311="Observada",I311="Rechazada"),0,G311)))</f>
        <v/>
      </c>
      <c r="L311" s="24" t="n"/>
      <c r="M311" s="25">
        <f>IF(OR(A311="",D311=""),0,IF(COUNTIFS($A$2:A311,A311,$D$2:D311,D311)=1,1,0))</f>
        <v/>
      </c>
    </row>
    <row r="312">
      <c r="A312" s="26" t="n"/>
      <c r="B312" s="27" t="n"/>
      <c r="C312" s="27" t="n"/>
      <c r="D312" s="28" t="n"/>
      <c r="E312" s="28" t="n"/>
      <c r="F312" s="29" t="n"/>
      <c r="G312" s="30" t="n"/>
      <c r="H312" s="20">
        <f>IF(A312="","",TRIM(IF(WEEKDAY(A312,2)&gt;5,"Fin de semana. ","")&amp;IF(SUMIFS($G$2:$G$601,$A$2:$A$601,A312,$D$2:$D$601,D312)&gt;9,"Más de 9 h en el día. ","")&amp;IF(AND(B312&lt;&gt;"",C312&lt;&gt;"",C312&lt;B312),"Cruza la medianoche. ","")&amp;IF(LEN(TRIM(F312))&lt;15,"Sin descripción suficiente. ","")&amp;IF(AND(ISERROR(SEARCH("R-0",F312)),ISERROR(SEARCH("CU-",F312))),"Sin ticket. ","")&amp;IF(ISNA(MATCH(E312,Datos!$E$8:$E$22,0)),"Proyecto sin valor hora. ","")&amp;IF(ISNA(MATCH(D312,Datos!$A$8:$A$22,0)),"Persona fuera del equipo. ","")))</f>
        <v/>
      </c>
      <c r="I312" s="21" t="n"/>
      <c r="J312" s="22" t="n"/>
      <c r="K312" s="23">
        <f>IF(G312="","",IF(J312&lt;&gt;"",MIN(J312,G312),IF(OR(I312="Observada",I312="Rechazada"),0,G312)))</f>
        <v/>
      </c>
      <c r="L312" s="24" t="n"/>
      <c r="M312" s="25">
        <f>IF(OR(A312="",D312=""),0,IF(COUNTIFS($A$2:A312,A312,$D$2:D312,D312)=1,1,0))</f>
        <v/>
      </c>
    </row>
    <row r="313">
      <c r="A313" s="26" t="n"/>
      <c r="B313" s="27" t="n"/>
      <c r="C313" s="27" t="n"/>
      <c r="D313" s="28" t="n"/>
      <c r="E313" s="28" t="n"/>
      <c r="F313" s="29" t="n"/>
      <c r="G313" s="30" t="n"/>
      <c r="H313" s="20">
        <f>IF(A313="","",TRIM(IF(WEEKDAY(A313,2)&gt;5,"Fin de semana. ","")&amp;IF(SUMIFS($G$2:$G$601,$A$2:$A$601,A313,$D$2:$D$601,D313)&gt;9,"Más de 9 h en el día. ","")&amp;IF(AND(B313&lt;&gt;"",C313&lt;&gt;"",C313&lt;B313),"Cruza la medianoche. ","")&amp;IF(LEN(TRIM(F313))&lt;15,"Sin descripción suficiente. ","")&amp;IF(AND(ISERROR(SEARCH("R-0",F313)),ISERROR(SEARCH("CU-",F313))),"Sin ticket. ","")&amp;IF(ISNA(MATCH(E313,Datos!$E$8:$E$22,0)),"Proyecto sin valor hora. ","")&amp;IF(ISNA(MATCH(D313,Datos!$A$8:$A$22,0)),"Persona fuera del equipo. ","")))</f>
        <v/>
      </c>
      <c r="I313" s="21" t="n"/>
      <c r="J313" s="22" t="n"/>
      <c r="K313" s="23">
        <f>IF(G313="","",IF(J313&lt;&gt;"",MIN(J313,G313),IF(OR(I313="Observada",I313="Rechazada"),0,G313)))</f>
        <v/>
      </c>
      <c r="L313" s="24" t="n"/>
      <c r="M313" s="25">
        <f>IF(OR(A313="",D313=""),0,IF(COUNTIFS($A$2:A313,A313,$D$2:D313,D313)=1,1,0))</f>
        <v/>
      </c>
    </row>
    <row r="314">
      <c r="A314" s="26" t="n"/>
      <c r="B314" s="27" t="n"/>
      <c r="C314" s="27" t="n"/>
      <c r="D314" s="28" t="n"/>
      <c r="E314" s="28" t="n"/>
      <c r="F314" s="29" t="n"/>
      <c r="G314" s="30" t="n"/>
      <c r="H314" s="20">
        <f>IF(A314="","",TRIM(IF(WEEKDAY(A314,2)&gt;5,"Fin de semana. ","")&amp;IF(SUMIFS($G$2:$G$601,$A$2:$A$601,A314,$D$2:$D$601,D314)&gt;9,"Más de 9 h en el día. ","")&amp;IF(AND(B314&lt;&gt;"",C314&lt;&gt;"",C314&lt;B314),"Cruza la medianoche. ","")&amp;IF(LEN(TRIM(F314))&lt;15,"Sin descripción suficiente. ","")&amp;IF(AND(ISERROR(SEARCH("R-0",F314)),ISERROR(SEARCH("CU-",F314))),"Sin ticket. ","")&amp;IF(ISNA(MATCH(E314,Datos!$E$8:$E$22,0)),"Proyecto sin valor hora. ","")&amp;IF(ISNA(MATCH(D314,Datos!$A$8:$A$22,0)),"Persona fuera del equipo. ","")))</f>
        <v/>
      </c>
      <c r="I314" s="21" t="n"/>
      <c r="J314" s="22" t="n"/>
      <c r="K314" s="23">
        <f>IF(G314="","",IF(J314&lt;&gt;"",MIN(J314,G314),IF(OR(I314="Observada",I314="Rechazada"),0,G314)))</f>
        <v/>
      </c>
      <c r="L314" s="24" t="n"/>
      <c r="M314" s="25">
        <f>IF(OR(A314="",D314=""),0,IF(COUNTIFS($A$2:A314,A314,$D$2:D314,D314)=1,1,0))</f>
        <v/>
      </c>
    </row>
    <row r="315">
      <c r="A315" s="26" t="n"/>
      <c r="B315" s="27" t="n"/>
      <c r="C315" s="27" t="n"/>
      <c r="D315" s="28" t="n"/>
      <c r="E315" s="28" t="n"/>
      <c r="F315" s="29" t="n"/>
      <c r="G315" s="30" t="n"/>
      <c r="H315" s="20">
        <f>IF(A315="","",TRIM(IF(WEEKDAY(A315,2)&gt;5,"Fin de semana. ","")&amp;IF(SUMIFS($G$2:$G$601,$A$2:$A$601,A315,$D$2:$D$601,D315)&gt;9,"Más de 9 h en el día. ","")&amp;IF(AND(B315&lt;&gt;"",C315&lt;&gt;"",C315&lt;B315),"Cruza la medianoche. ","")&amp;IF(LEN(TRIM(F315))&lt;15,"Sin descripción suficiente. ","")&amp;IF(AND(ISERROR(SEARCH("R-0",F315)),ISERROR(SEARCH("CU-",F315))),"Sin ticket. ","")&amp;IF(ISNA(MATCH(E315,Datos!$E$8:$E$22,0)),"Proyecto sin valor hora. ","")&amp;IF(ISNA(MATCH(D315,Datos!$A$8:$A$22,0)),"Persona fuera del equipo. ","")))</f>
        <v/>
      </c>
      <c r="I315" s="21" t="n"/>
      <c r="J315" s="22" t="n"/>
      <c r="K315" s="23">
        <f>IF(G315="","",IF(J315&lt;&gt;"",MIN(J315,G315),IF(OR(I315="Observada",I315="Rechazada"),0,G315)))</f>
        <v/>
      </c>
      <c r="L315" s="24" t="n"/>
      <c r="M315" s="25">
        <f>IF(OR(A315="",D315=""),0,IF(COUNTIFS($A$2:A315,A315,$D$2:D315,D315)=1,1,0))</f>
        <v/>
      </c>
    </row>
    <row r="316">
      <c r="A316" s="26" t="n"/>
      <c r="B316" s="27" t="n"/>
      <c r="C316" s="27" t="n"/>
      <c r="D316" s="28" t="n"/>
      <c r="E316" s="28" t="n"/>
      <c r="F316" s="29" t="n"/>
      <c r="G316" s="30" t="n"/>
      <c r="H316" s="20">
        <f>IF(A316="","",TRIM(IF(WEEKDAY(A316,2)&gt;5,"Fin de semana. ","")&amp;IF(SUMIFS($G$2:$G$601,$A$2:$A$601,A316,$D$2:$D$601,D316)&gt;9,"Más de 9 h en el día. ","")&amp;IF(AND(B316&lt;&gt;"",C316&lt;&gt;"",C316&lt;B316),"Cruza la medianoche. ","")&amp;IF(LEN(TRIM(F316))&lt;15,"Sin descripción suficiente. ","")&amp;IF(AND(ISERROR(SEARCH("R-0",F316)),ISERROR(SEARCH("CU-",F316))),"Sin ticket. ","")&amp;IF(ISNA(MATCH(E316,Datos!$E$8:$E$22,0)),"Proyecto sin valor hora. ","")&amp;IF(ISNA(MATCH(D316,Datos!$A$8:$A$22,0)),"Persona fuera del equipo. ","")))</f>
        <v/>
      </c>
      <c r="I316" s="21" t="n"/>
      <c r="J316" s="22" t="n"/>
      <c r="K316" s="23">
        <f>IF(G316="","",IF(J316&lt;&gt;"",MIN(J316,G316),IF(OR(I316="Observada",I316="Rechazada"),0,G316)))</f>
        <v/>
      </c>
      <c r="L316" s="24" t="n"/>
      <c r="M316" s="25">
        <f>IF(OR(A316="",D316=""),0,IF(COUNTIFS($A$2:A316,A316,$D$2:D316,D316)=1,1,0))</f>
        <v/>
      </c>
    </row>
    <row r="317">
      <c r="A317" s="26" t="n"/>
      <c r="B317" s="27" t="n"/>
      <c r="C317" s="27" t="n"/>
      <c r="D317" s="28" t="n"/>
      <c r="E317" s="28" t="n"/>
      <c r="F317" s="29" t="n"/>
      <c r="G317" s="30" t="n"/>
      <c r="H317" s="20">
        <f>IF(A317="","",TRIM(IF(WEEKDAY(A317,2)&gt;5,"Fin de semana. ","")&amp;IF(SUMIFS($G$2:$G$601,$A$2:$A$601,A317,$D$2:$D$601,D317)&gt;9,"Más de 9 h en el día. ","")&amp;IF(AND(B317&lt;&gt;"",C317&lt;&gt;"",C317&lt;B317),"Cruza la medianoche. ","")&amp;IF(LEN(TRIM(F317))&lt;15,"Sin descripción suficiente. ","")&amp;IF(AND(ISERROR(SEARCH("R-0",F317)),ISERROR(SEARCH("CU-",F317))),"Sin ticket. ","")&amp;IF(ISNA(MATCH(E317,Datos!$E$8:$E$22,0)),"Proyecto sin valor hora. ","")&amp;IF(ISNA(MATCH(D317,Datos!$A$8:$A$22,0)),"Persona fuera del equipo. ","")))</f>
        <v/>
      </c>
      <c r="I317" s="21" t="n"/>
      <c r="J317" s="22" t="n"/>
      <c r="K317" s="23">
        <f>IF(G317="","",IF(J317&lt;&gt;"",MIN(J317,G317),IF(OR(I317="Observada",I317="Rechazada"),0,G317)))</f>
        <v/>
      </c>
      <c r="L317" s="24" t="n"/>
      <c r="M317" s="25">
        <f>IF(OR(A317="",D317=""),0,IF(COUNTIFS($A$2:A317,A317,$D$2:D317,D317)=1,1,0))</f>
        <v/>
      </c>
    </row>
    <row r="318">
      <c r="A318" s="26" t="n"/>
      <c r="B318" s="27" t="n"/>
      <c r="C318" s="27" t="n"/>
      <c r="D318" s="28" t="n"/>
      <c r="E318" s="28" t="n"/>
      <c r="F318" s="29" t="n"/>
      <c r="G318" s="30" t="n"/>
      <c r="H318" s="20">
        <f>IF(A318="","",TRIM(IF(WEEKDAY(A318,2)&gt;5,"Fin de semana. ","")&amp;IF(SUMIFS($G$2:$G$601,$A$2:$A$601,A318,$D$2:$D$601,D318)&gt;9,"Más de 9 h en el día. ","")&amp;IF(AND(B318&lt;&gt;"",C318&lt;&gt;"",C318&lt;B318),"Cruza la medianoche. ","")&amp;IF(LEN(TRIM(F318))&lt;15,"Sin descripción suficiente. ","")&amp;IF(AND(ISERROR(SEARCH("R-0",F318)),ISERROR(SEARCH("CU-",F318))),"Sin ticket. ","")&amp;IF(ISNA(MATCH(E318,Datos!$E$8:$E$22,0)),"Proyecto sin valor hora. ","")&amp;IF(ISNA(MATCH(D318,Datos!$A$8:$A$22,0)),"Persona fuera del equipo. ","")))</f>
        <v/>
      </c>
      <c r="I318" s="21" t="n"/>
      <c r="J318" s="22" t="n"/>
      <c r="K318" s="23">
        <f>IF(G318="","",IF(J318&lt;&gt;"",MIN(J318,G318),IF(OR(I318="Observada",I318="Rechazada"),0,G318)))</f>
        <v/>
      </c>
      <c r="L318" s="24" t="n"/>
      <c r="M318" s="25">
        <f>IF(OR(A318="",D318=""),0,IF(COUNTIFS($A$2:A318,A318,$D$2:D318,D318)=1,1,0))</f>
        <v/>
      </c>
    </row>
    <row r="319">
      <c r="A319" s="26" t="n"/>
      <c r="B319" s="27" t="n"/>
      <c r="C319" s="27" t="n"/>
      <c r="D319" s="28" t="n"/>
      <c r="E319" s="28" t="n"/>
      <c r="F319" s="29" t="n"/>
      <c r="G319" s="30" t="n"/>
      <c r="H319" s="20">
        <f>IF(A319="","",TRIM(IF(WEEKDAY(A319,2)&gt;5,"Fin de semana. ","")&amp;IF(SUMIFS($G$2:$G$601,$A$2:$A$601,A319,$D$2:$D$601,D319)&gt;9,"Más de 9 h en el día. ","")&amp;IF(AND(B319&lt;&gt;"",C319&lt;&gt;"",C319&lt;B319),"Cruza la medianoche. ","")&amp;IF(LEN(TRIM(F319))&lt;15,"Sin descripción suficiente. ","")&amp;IF(AND(ISERROR(SEARCH("R-0",F319)),ISERROR(SEARCH("CU-",F319))),"Sin ticket. ","")&amp;IF(ISNA(MATCH(E319,Datos!$E$8:$E$22,0)),"Proyecto sin valor hora. ","")&amp;IF(ISNA(MATCH(D319,Datos!$A$8:$A$22,0)),"Persona fuera del equipo. ","")))</f>
        <v/>
      </c>
      <c r="I319" s="21" t="n"/>
      <c r="J319" s="22" t="n"/>
      <c r="K319" s="23">
        <f>IF(G319="","",IF(J319&lt;&gt;"",MIN(J319,G319),IF(OR(I319="Observada",I319="Rechazada"),0,G319)))</f>
        <v/>
      </c>
      <c r="L319" s="24" t="n"/>
      <c r="M319" s="25">
        <f>IF(OR(A319="",D319=""),0,IF(COUNTIFS($A$2:A319,A319,$D$2:D319,D319)=1,1,0))</f>
        <v/>
      </c>
    </row>
    <row r="320">
      <c r="A320" s="26" t="n"/>
      <c r="B320" s="27" t="n"/>
      <c r="C320" s="27" t="n"/>
      <c r="D320" s="28" t="n"/>
      <c r="E320" s="28" t="n"/>
      <c r="F320" s="29" t="n"/>
      <c r="G320" s="30" t="n"/>
      <c r="H320" s="20">
        <f>IF(A320="","",TRIM(IF(WEEKDAY(A320,2)&gt;5,"Fin de semana. ","")&amp;IF(SUMIFS($G$2:$G$601,$A$2:$A$601,A320,$D$2:$D$601,D320)&gt;9,"Más de 9 h en el día. ","")&amp;IF(AND(B320&lt;&gt;"",C320&lt;&gt;"",C320&lt;B320),"Cruza la medianoche. ","")&amp;IF(LEN(TRIM(F320))&lt;15,"Sin descripción suficiente. ","")&amp;IF(AND(ISERROR(SEARCH("R-0",F320)),ISERROR(SEARCH("CU-",F320))),"Sin ticket. ","")&amp;IF(ISNA(MATCH(E320,Datos!$E$8:$E$22,0)),"Proyecto sin valor hora. ","")&amp;IF(ISNA(MATCH(D320,Datos!$A$8:$A$22,0)),"Persona fuera del equipo. ","")))</f>
        <v/>
      </c>
      <c r="I320" s="21" t="n"/>
      <c r="J320" s="22" t="n"/>
      <c r="K320" s="23">
        <f>IF(G320="","",IF(J320&lt;&gt;"",MIN(J320,G320),IF(OR(I320="Observada",I320="Rechazada"),0,G320)))</f>
        <v/>
      </c>
      <c r="L320" s="24" t="n"/>
      <c r="M320" s="25">
        <f>IF(OR(A320="",D320=""),0,IF(COUNTIFS($A$2:A320,A320,$D$2:D320,D320)=1,1,0))</f>
        <v/>
      </c>
    </row>
    <row r="321">
      <c r="A321" s="26" t="n"/>
      <c r="B321" s="27" t="n"/>
      <c r="C321" s="27" t="n"/>
      <c r="D321" s="28" t="n"/>
      <c r="E321" s="28" t="n"/>
      <c r="F321" s="29" t="n"/>
      <c r="G321" s="30" t="n"/>
      <c r="H321" s="20">
        <f>IF(A321="","",TRIM(IF(WEEKDAY(A321,2)&gt;5,"Fin de semana. ","")&amp;IF(SUMIFS($G$2:$G$601,$A$2:$A$601,A321,$D$2:$D$601,D321)&gt;9,"Más de 9 h en el día. ","")&amp;IF(AND(B321&lt;&gt;"",C321&lt;&gt;"",C321&lt;B321),"Cruza la medianoche. ","")&amp;IF(LEN(TRIM(F321))&lt;15,"Sin descripción suficiente. ","")&amp;IF(AND(ISERROR(SEARCH("R-0",F321)),ISERROR(SEARCH("CU-",F321))),"Sin ticket. ","")&amp;IF(ISNA(MATCH(E321,Datos!$E$8:$E$22,0)),"Proyecto sin valor hora. ","")&amp;IF(ISNA(MATCH(D321,Datos!$A$8:$A$22,0)),"Persona fuera del equipo. ","")))</f>
        <v/>
      </c>
      <c r="I321" s="21" t="n"/>
      <c r="J321" s="22" t="n"/>
      <c r="K321" s="23">
        <f>IF(G321="","",IF(J321&lt;&gt;"",MIN(J321,G321),IF(OR(I321="Observada",I321="Rechazada"),0,G321)))</f>
        <v/>
      </c>
      <c r="L321" s="24" t="n"/>
      <c r="M321" s="25">
        <f>IF(OR(A321="",D321=""),0,IF(COUNTIFS($A$2:A321,A321,$D$2:D321,D321)=1,1,0))</f>
        <v/>
      </c>
    </row>
    <row r="322">
      <c r="A322" s="26" t="n"/>
      <c r="B322" s="27" t="n"/>
      <c r="C322" s="27" t="n"/>
      <c r="D322" s="28" t="n"/>
      <c r="E322" s="28" t="n"/>
      <c r="F322" s="29" t="n"/>
      <c r="G322" s="30" t="n"/>
      <c r="H322" s="20">
        <f>IF(A322="","",TRIM(IF(WEEKDAY(A322,2)&gt;5,"Fin de semana. ","")&amp;IF(SUMIFS($G$2:$G$601,$A$2:$A$601,A322,$D$2:$D$601,D322)&gt;9,"Más de 9 h en el día. ","")&amp;IF(AND(B322&lt;&gt;"",C322&lt;&gt;"",C322&lt;B322),"Cruza la medianoche. ","")&amp;IF(LEN(TRIM(F322))&lt;15,"Sin descripción suficiente. ","")&amp;IF(AND(ISERROR(SEARCH("R-0",F322)),ISERROR(SEARCH("CU-",F322))),"Sin ticket. ","")&amp;IF(ISNA(MATCH(E322,Datos!$E$8:$E$22,0)),"Proyecto sin valor hora. ","")&amp;IF(ISNA(MATCH(D322,Datos!$A$8:$A$22,0)),"Persona fuera del equipo. ","")))</f>
        <v/>
      </c>
      <c r="I322" s="21" t="n"/>
      <c r="J322" s="22" t="n"/>
      <c r="K322" s="23">
        <f>IF(G322="","",IF(J322&lt;&gt;"",MIN(J322,G322),IF(OR(I322="Observada",I322="Rechazada"),0,G322)))</f>
        <v/>
      </c>
      <c r="L322" s="24" t="n"/>
      <c r="M322" s="25">
        <f>IF(OR(A322="",D322=""),0,IF(COUNTIFS($A$2:A322,A322,$D$2:D322,D322)=1,1,0))</f>
        <v/>
      </c>
    </row>
    <row r="323">
      <c r="A323" s="26" t="n"/>
      <c r="B323" s="27" t="n"/>
      <c r="C323" s="27" t="n"/>
      <c r="D323" s="28" t="n"/>
      <c r="E323" s="28" t="n"/>
      <c r="F323" s="29" t="n"/>
      <c r="G323" s="30" t="n"/>
      <c r="H323" s="20">
        <f>IF(A323="","",TRIM(IF(WEEKDAY(A323,2)&gt;5,"Fin de semana. ","")&amp;IF(SUMIFS($G$2:$G$601,$A$2:$A$601,A323,$D$2:$D$601,D323)&gt;9,"Más de 9 h en el día. ","")&amp;IF(AND(B323&lt;&gt;"",C323&lt;&gt;"",C323&lt;B323),"Cruza la medianoche. ","")&amp;IF(LEN(TRIM(F323))&lt;15,"Sin descripción suficiente. ","")&amp;IF(AND(ISERROR(SEARCH("R-0",F323)),ISERROR(SEARCH("CU-",F323))),"Sin ticket. ","")&amp;IF(ISNA(MATCH(E323,Datos!$E$8:$E$22,0)),"Proyecto sin valor hora. ","")&amp;IF(ISNA(MATCH(D323,Datos!$A$8:$A$22,0)),"Persona fuera del equipo. ","")))</f>
        <v/>
      </c>
      <c r="I323" s="21" t="n"/>
      <c r="J323" s="22" t="n"/>
      <c r="K323" s="23">
        <f>IF(G323="","",IF(J323&lt;&gt;"",MIN(J323,G323),IF(OR(I323="Observada",I323="Rechazada"),0,G323)))</f>
        <v/>
      </c>
      <c r="L323" s="24" t="n"/>
      <c r="M323" s="25">
        <f>IF(OR(A323="",D323=""),0,IF(COUNTIFS($A$2:A323,A323,$D$2:D323,D323)=1,1,0))</f>
        <v/>
      </c>
    </row>
    <row r="324">
      <c r="A324" s="26" t="n"/>
      <c r="B324" s="27" t="n"/>
      <c r="C324" s="27" t="n"/>
      <c r="D324" s="28" t="n"/>
      <c r="E324" s="28" t="n"/>
      <c r="F324" s="29" t="n"/>
      <c r="G324" s="30" t="n"/>
      <c r="H324" s="20">
        <f>IF(A324="","",TRIM(IF(WEEKDAY(A324,2)&gt;5,"Fin de semana. ","")&amp;IF(SUMIFS($G$2:$G$601,$A$2:$A$601,A324,$D$2:$D$601,D324)&gt;9,"Más de 9 h en el día. ","")&amp;IF(AND(B324&lt;&gt;"",C324&lt;&gt;"",C324&lt;B324),"Cruza la medianoche. ","")&amp;IF(LEN(TRIM(F324))&lt;15,"Sin descripción suficiente. ","")&amp;IF(AND(ISERROR(SEARCH("R-0",F324)),ISERROR(SEARCH("CU-",F324))),"Sin ticket. ","")&amp;IF(ISNA(MATCH(E324,Datos!$E$8:$E$22,0)),"Proyecto sin valor hora. ","")&amp;IF(ISNA(MATCH(D324,Datos!$A$8:$A$22,0)),"Persona fuera del equipo. ","")))</f>
        <v/>
      </c>
      <c r="I324" s="21" t="n"/>
      <c r="J324" s="22" t="n"/>
      <c r="K324" s="23">
        <f>IF(G324="","",IF(J324&lt;&gt;"",MIN(J324,G324),IF(OR(I324="Observada",I324="Rechazada"),0,G324)))</f>
        <v/>
      </c>
      <c r="L324" s="24" t="n"/>
      <c r="M324" s="25">
        <f>IF(OR(A324="",D324=""),0,IF(COUNTIFS($A$2:A324,A324,$D$2:D324,D324)=1,1,0))</f>
        <v/>
      </c>
    </row>
    <row r="325">
      <c r="A325" s="26" t="n"/>
      <c r="B325" s="27" t="n"/>
      <c r="C325" s="27" t="n"/>
      <c r="D325" s="28" t="n"/>
      <c r="E325" s="28" t="n"/>
      <c r="F325" s="29" t="n"/>
      <c r="G325" s="30" t="n"/>
      <c r="H325" s="20">
        <f>IF(A325="","",TRIM(IF(WEEKDAY(A325,2)&gt;5,"Fin de semana. ","")&amp;IF(SUMIFS($G$2:$G$601,$A$2:$A$601,A325,$D$2:$D$601,D325)&gt;9,"Más de 9 h en el día. ","")&amp;IF(AND(B325&lt;&gt;"",C325&lt;&gt;"",C325&lt;B325),"Cruza la medianoche. ","")&amp;IF(LEN(TRIM(F325))&lt;15,"Sin descripción suficiente. ","")&amp;IF(AND(ISERROR(SEARCH("R-0",F325)),ISERROR(SEARCH("CU-",F325))),"Sin ticket. ","")&amp;IF(ISNA(MATCH(E325,Datos!$E$8:$E$22,0)),"Proyecto sin valor hora. ","")&amp;IF(ISNA(MATCH(D325,Datos!$A$8:$A$22,0)),"Persona fuera del equipo. ","")))</f>
        <v/>
      </c>
      <c r="I325" s="21" t="n"/>
      <c r="J325" s="22" t="n"/>
      <c r="K325" s="23">
        <f>IF(G325="","",IF(J325&lt;&gt;"",MIN(J325,G325),IF(OR(I325="Observada",I325="Rechazada"),0,G325)))</f>
        <v/>
      </c>
      <c r="L325" s="24" t="n"/>
      <c r="M325" s="25">
        <f>IF(OR(A325="",D325=""),0,IF(COUNTIFS($A$2:A325,A325,$D$2:D325,D325)=1,1,0))</f>
        <v/>
      </c>
    </row>
    <row r="326">
      <c r="A326" s="26" t="n"/>
      <c r="B326" s="27" t="n"/>
      <c r="C326" s="27" t="n"/>
      <c r="D326" s="28" t="n"/>
      <c r="E326" s="28" t="n"/>
      <c r="F326" s="29" t="n"/>
      <c r="G326" s="30" t="n"/>
      <c r="H326" s="20">
        <f>IF(A326="","",TRIM(IF(WEEKDAY(A326,2)&gt;5,"Fin de semana. ","")&amp;IF(SUMIFS($G$2:$G$601,$A$2:$A$601,A326,$D$2:$D$601,D326)&gt;9,"Más de 9 h en el día. ","")&amp;IF(AND(B326&lt;&gt;"",C326&lt;&gt;"",C326&lt;B326),"Cruza la medianoche. ","")&amp;IF(LEN(TRIM(F326))&lt;15,"Sin descripción suficiente. ","")&amp;IF(AND(ISERROR(SEARCH("R-0",F326)),ISERROR(SEARCH("CU-",F326))),"Sin ticket. ","")&amp;IF(ISNA(MATCH(E326,Datos!$E$8:$E$22,0)),"Proyecto sin valor hora. ","")&amp;IF(ISNA(MATCH(D326,Datos!$A$8:$A$22,0)),"Persona fuera del equipo. ","")))</f>
        <v/>
      </c>
      <c r="I326" s="21" t="n"/>
      <c r="J326" s="22" t="n"/>
      <c r="K326" s="23">
        <f>IF(G326="","",IF(J326&lt;&gt;"",MIN(J326,G326),IF(OR(I326="Observada",I326="Rechazada"),0,G326)))</f>
        <v/>
      </c>
      <c r="L326" s="24" t="n"/>
      <c r="M326" s="25">
        <f>IF(OR(A326="",D326=""),0,IF(COUNTIFS($A$2:A326,A326,$D$2:D326,D326)=1,1,0))</f>
        <v/>
      </c>
    </row>
    <row r="327">
      <c r="A327" s="26" t="n"/>
      <c r="B327" s="27" t="n"/>
      <c r="C327" s="27" t="n"/>
      <c r="D327" s="28" t="n"/>
      <c r="E327" s="28" t="n"/>
      <c r="F327" s="29" t="n"/>
      <c r="G327" s="30" t="n"/>
      <c r="H327" s="20">
        <f>IF(A327="","",TRIM(IF(WEEKDAY(A327,2)&gt;5,"Fin de semana. ","")&amp;IF(SUMIFS($G$2:$G$601,$A$2:$A$601,A327,$D$2:$D$601,D327)&gt;9,"Más de 9 h en el día. ","")&amp;IF(AND(B327&lt;&gt;"",C327&lt;&gt;"",C327&lt;B327),"Cruza la medianoche. ","")&amp;IF(LEN(TRIM(F327))&lt;15,"Sin descripción suficiente. ","")&amp;IF(AND(ISERROR(SEARCH("R-0",F327)),ISERROR(SEARCH("CU-",F327))),"Sin ticket. ","")&amp;IF(ISNA(MATCH(E327,Datos!$E$8:$E$22,0)),"Proyecto sin valor hora. ","")&amp;IF(ISNA(MATCH(D327,Datos!$A$8:$A$22,0)),"Persona fuera del equipo. ","")))</f>
        <v/>
      </c>
      <c r="I327" s="21" t="n"/>
      <c r="J327" s="22" t="n"/>
      <c r="K327" s="23">
        <f>IF(G327="","",IF(J327&lt;&gt;"",MIN(J327,G327),IF(OR(I327="Observada",I327="Rechazada"),0,G327)))</f>
        <v/>
      </c>
      <c r="L327" s="24" t="n"/>
      <c r="M327" s="25">
        <f>IF(OR(A327="",D327=""),0,IF(COUNTIFS($A$2:A327,A327,$D$2:D327,D327)=1,1,0))</f>
        <v/>
      </c>
    </row>
    <row r="328">
      <c r="A328" s="26" t="n"/>
      <c r="B328" s="27" t="n"/>
      <c r="C328" s="27" t="n"/>
      <c r="D328" s="28" t="n"/>
      <c r="E328" s="28" t="n"/>
      <c r="F328" s="29" t="n"/>
      <c r="G328" s="30" t="n"/>
      <c r="H328" s="20">
        <f>IF(A328="","",TRIM(IF(WEEKDAY(A328,2)&gt;5,"Fin de semana. ","")&amp;IF(SUMIFS($G$2:$G$601,$A$2:$A$601,A328,$D$2:$D$601,D328)&gt;9,"Más de 9 h en el día. ","")&amp;IF(AND(B328&lt;&gt;"",C328&lt;&gt;"",C328&lt;B328),"Cruza la medianoche. ","")&amp;IF(LEN(TRIM(F328))&lt;15,"Sin descripción suficiente. ","")&amp;IF(AND(ISERROR(SEARCH("R-0",F328)),ISERROR(SEARCH("CU-",F328))),"Sin ticket. ","")&amp;IF(ISNA(MATCH(E328,Datos!$E$8:$E$22,0)),"Proyecto sin valor hora. ","")&amp;IF(ISNA(MATCH(D328,Datos!$A$8:$A$22,0)),"Persona fuera del equipo. ","")))</f>
        <v/>
      </c>
      <c r="I328" s="21" t="n"/>
      <c r="J328" s="22" t="n"/>
      <c r="K328" s="23">
        <f>IF(G328="","",IF(J328&lt;&gt;"",MIN(J328,G328),IF(OR(I328="Observada",I328="Rechazada"),0,G328)))</f>
        <v/>
      </c>
      <c r="L328" s="24" t="n"/>
      <c r="M328" s="25">
        <f>IF(OR(A328="",D328=""),0,IF(COUNTIFS($A$2:A328,A328,$D$2:D328,D328)=1,1,0))</f>
        <v/>
      </c>
    </row>
    <row r="329">
      <c r="A329" s="26" t="n"/>
      <c r="B329" s="27" t="n"/>
      <c r="C329" s="27" t="n"/>
      <c r="D329" s="28" t="n"/>
      <c r="E329" s="28" t="n"/>
      <c r="F329" s="29" t="n"/>
      <c r="G329" s="30" t="n"/>
      <c r="H329" s="20">
        <f>IF(A329="","",TRIM(IF(WEEKDAY(A329,2)&gt;5,"Fin de semana. ","")&amp;IF(SUMIFS($G$2:$G$601,$A$2:$A$601,A329,$D$2:$D$601,D329)&gt;9,"Más de 9 h en el día. ","")&amp;IF(AND(B329&lt;&gt;"",C329&lt;&gt;"",C329&lt;B329),"Cruza la medianoche. ","")&amp;IF(LEN(TRIM(F329))&lt;15,"Sin descripción suficiente. ","")&amp;IF(AND(ISERROR(SEARCH("R-0",F329)),ISERROR(SEARCH("CU-",F329))),"Sin ticket. ","")&amp;IF(ISNA(MATCH(E329,Datos!$E$8:$E$22,0)),"Proyecto sin valor hora. ","")&amp;IF(ISNA(MATCH(D329,Datos!$A$8:$A$22,0)),"Persona fuera del equipo. ","")))</f>
        <v/>
      </c>
      <c r="I329" s="21" t="n"/>
      <c r="J329" s="22" t="n"/>
      <c r="K329" s="23">
        <f>IF(G329="","",IF(J329&lt;&gt;"",MIN(J329,G329),IF(OR(I329="Observada",I329="Rechazada"),0,G329)))</f>
        <v/>
      </c>
      <c r="L329" s="24" t="n"/>
      <c r="M329" s="25">
        <f>IF(OR(A329="",D329=""),0,IF(COUNTIFS($A$2:A329,A329,$D$2:D329,D329)=1,1,0))</f>
        <v/>
      </c>
    </row>
    <row r="330">
      <c r="A330" s="26" t="n"/>
      <c r="B330" s="27" t="n"/>
      <c r="C330" s="27" t="n"/>
      <c r="D330" s="28" t="n"/>
      <c r="E330" s="28" t="n"/>
      <c r="F330" s="29" t="n"/>
      <c r="G330" s="30" t="n"/>
      <c r="H330" s="20">
        <f>IF(A330="","",TRIM(IF(WEEKDAY(A330,2)&gt;5,"Fin de semana. ","")&amp;IF(SUMIFS($G$2:$G$601,$A$2:$A$601,A330,$D$2:$D$601,D330)&gt;9,"Más de 9 h en el día. ","")&amp;IF(AND(B330&lt;&gt;"",C330&lt;&gt;"",C330&lt;B330),"Cruza la medianoche. ","")&amp;IF(LEN(TRIM(F330))&lt;15,"Sin descripción suficiente. ","")&amp;IF(AND(ISERROR(SEARCH("R-0",F330)),ISERROR(SEARCH("CU-",F330))),"Sin ticket. ","")&amp;IF(ISNA(MATCH(E330,Datos!$E$8:$E$22,0)),"Proyecto sin valor hora. ","")&amp;IF(ISNA(MATCH(D330,Datos!$A$8:$A$22,0)),"Persona fuera del equipo. ","")))</f>
        <v/>
      </c>
      <c r="I330" s="21" t="n"/>
      <c r="J330" s="22" t="n"/>
      <c r="K330" s="23">
        <f>IF(G330="","",IF(J330&lt;&gt;"",MIN(J330,G330),IF(OR(I330="Observada",I330="Rechazada"),0,G330)))</f>
        <v/>
      </c>
      <c r="L330" s="24" t="n"/>
      <c r="M330" s="25">
        <f>IF(OR(A330="",D330=""),0,IF(COUNTIFS($A$2:A330,A330,$D$2:D330,D330)=1,1,0))</f>
        <v/>
      </c>
    </row>
    <row r="331">
      <c r="A331" s="26" t="n"/>
      <c r="B331" s="27" t="n"/>
      <c r="C331" s="27" t="n"/>
      <c r="D331" s="28" t="n"/>
      <c r="E331" s="28" t="n"/>
      <c r="F331" s="29" t="n"/>
      <c r="G331" s="30" t="n"/>
      <c r="H331" s="20">
        <f>IF(A331="","",TRIM(IF(WEEKDAY(A331,2)&gt;5,"Fin de semana. ","")&amp;IF(SUMIFS($G$2:$G$601,$A$2:$A$601,A331,$D$2:$D$601,D331)&gt;9,"Más de 9 h en el día. ","")&amp;IF(AND(B331&lt;&gt;"",C331&lt;&gt;"",C331&lt;B331),"Cruza la medianoche. ","")&amp;IF(LEN(TRIM(F331))&lt;15,"Sin descripción suficiente. ","")&amp;IF(AND(ISERROR(SEARCH("R-0",F331)),ISERROR(SEARCH("CU-",F331))),"Sin ticket. ","")&amp;IF(ISNA(MATCH(E331,Datos!$E$8:$E$22,0)),"Proyecto sin valor hora. ","")&amp;IF(ISNA(MATCH(D331,Datos!$A$8:$A$22,0)),"Persona fuera del equipo. ","")))</f>
        <v/>
      </c>
      <c r="I331" s="21" t="n"/>
      <c r="J331" s="22" t="n"/>
      <c r="K331" s="23">
        <f>IF(G331="","",IF(J331&lt;&gt;"",MIN(J331,G331),IF(OR(I331="Observada",I331="Rechazada"),0,G331)))</f>
        <v/>
      </c>
      <c r="L331" s="24" t="n"/>
      <c r="M331" s="25">
        <f>IF(OR(A331="",D331=""),0,IF(COUNTIFS($A$2:A331,A331,$D$2:D331,D331)=1,1,0))</f>
        <v/>
      </c>
    </row>
    <row r="332">
      <c r="A332" s="26" t="n"/>
      <c r="B332" s="27" t="n"/>
      <c r="C332" s="27" t="n"/>
      <c r="D332" s="28" t="n"/>
      <c r="E332" s="28" t="n"/>
      <c r="F332" s="29" t="n"/>
      <c r="G332" s="30" t="n"/>
      <c r="H332" s="20">
        <f>IF(A332="","",TRIM(IF(WEEKDAY(A332,2)&gt;5,"Fin de semana. ","")&amp;IF(SUMIFS($G$2:$G$601,$A$2:$A$601,A332,$D$2:$D$601,D332)&gt;9,"Más de 9 h en el día. ","")&amp;IF(AND(B332&lt;&gt;"",C332&lt;&gt;"",C332&lt;B332),"Cruza la medianoche. ","")&amp;IF(LEN(TRIM(F332))&lt;15,"Sin descripción suficiente. ","")&amp;IF(AND(ISERROR(SEARCH("R-0",F332)),ISERROR(SEARCH("CU-",F332))),"Sin ticket. ","")&amp;IF(ISNA(MATCH(E332,Datos!$E$8:$E$22,0)),"Proyecto sin valor hora. ","")&amp;IF(ISNA(MATCH(D332,Datos!$A$8:$A$22,0)),"Persona fuera del equipo. ","")))</f>
        <v/>
      </c>
      <c r="I332" s="21" t="n"/>
      <c r="J332" s="22" t="n"/>
      <c r="K332" s="23">
        <f>IF(G332="","",IF(J332&lt;&gt;"",MIN(J332,G332),IF(OR(I332="Observada",I332="Rechazada"),0,G332)))</f>
        <v/>
      </c>
      <c r="L332" s="24" t="n"/>
      <c r="M332" s="25">
        <f>IF(OR(A332="",D332=""),0,IF(COUNTIFS($A$2:A332,A332,$D$2:D332,D332)=1,1,0))</f>
        <v/>
      </c>
    </row>
    <row r="333">
      <c r="A333" s="26" t="n"/>
      <c r="B333" s="27" t="n"/>
      <c r="C333" s="27" t="n"/>
      <c r="D333" s="28" t="n"/>
      <c r="E333" s="28" t="n"/>
      <c r="F333" s="29" t="n"/>
      <c r="G333" s="30" t="n"/>
      <c r="H333" s="20">
        <f>IF(A333="","",TRIM(IF(WEEKDAY(A333,2)&gt;5,"Fin de semana. ","")&amp;IF(SUMIFS($G$2:$G$601,$A$2:$A$601,A333,$D$2:$D$601,D333)&gt;9,"Más de 9 h en el día. ","")&amp;IF(AND(B333&lt;&gt;"",C333&lt;&gt;"",C333&lt;B333),"Cruza la medianoche. ","")&amp;IF(LEN(TRIM(F333))&lt;15,"Sin descripción suficiente. ","")&amp;IF(AND(ISERROR(SEARCH("R-0",F333)),ISERROR(SEARCH("CU-",F333))),"Sin ticket. ","")&amp;IF(ISNA(MATCH(E333,Datos!$E$8:$E$22,0)),"Proyecto sin valor hora. ","")&amp;IF(ISNA(MATCH(D333,Datos!$A$8:$A$22,0)),"Persona fuera del equipo. ","")))</f>
        <v/>
      </c>
      <c r="I333" s="21" t="n"/>
      <c r="J333" s="22" t="n"/>
      <c r="K333" s="23">
        <f>IF(G333="","",IF(J333&lt;&gt;"",MIN(J333,G333),IF(OR(I333="Observada",I333="Rechazada"),0,G333)))</f>
        <v/>
      </c>
      <c r="L333" s="24" t="n"/>
      <c r="M333" s="25">
        <f>IF(OR(A333="",D333=""),0,IF(COUNTIFS($A$2:A333,A333,$D$2:D333,D333)=1,1,0))</f>
        <v/>
      </c>
    </row>
    <row r="334">
      <c r="A334" s="26" t="n"/>
      <c r="B334" s="27" t="n"/>
      <c r="C334" s="27" t="n"/>
      <c r="D334" s="28" t="n"/>
      <c r="E334" s="28" t="n"/>
      <c r="F334" s="29" t="n"/>
      <c r="G334" s="30" t="n"/>
      <c r="H334" s="20">
        <f>IF(A334="","",TRIM(IF(WEEKDAY(A334,2)&gt;5,"Fin de semana. ","")&amp;IF(SUMIFS($G$2:$G$601,$A$2:$A$601,A334,$D$2:$D$601,D334)&gt;9,"Más de 9 h en el día. ","")&amp;IF(AND(B334&lt;&gt;"",C334&lt;&gt;"",C334&lt;B334),"Cruza la medianoche. ","")&amp;IF(LEN(TRIM(F334))&lt;15,"Sin descripción suficiente. ","")&amp;IF(AND(ISERROR(SEARCH("R-0",F334)),ISERROR(SEARCH("CU-",F334))),"Sin ticket. ","")&amp;IF(ISNA(MATCH(E334,Datos!$E$8:$E$22,0)),"Proyecto sin valor hora. ","")&amp;IF(ISNA(MATCH(D334,Datos!$A$8:$A$22,0)),"Persona fuera del equipo. ","")))</f>
        <v/>
      </c>
      <c r="I334" s="21" t="n"/>
      <c r="J334" s="22" t="n"/>
      <c r="K334" s="23">
        <f>IF(G334="","",IF(J334&lt;&gt;"",MIN(J334,G334),IF(OR(I334="Observada",I334="Rechazada"),0,G334)))</f>
        <v/>
      </c>
      <c r="L334" s="24" t="n"/>
      <c r="M334" s="25">
        <f>IF(OR(A334="",D334=""),0,IF(COUNTIFS($A$2:A334,A334,$D$2:D334,D334)=1,1,0))</f>
        <v/>
      </c>
    </row>
    <row r="335">
      <c r="A335" s="26" t="n"/>
      <c r="B335" s="27" t="n"/>
      <c r="C335" s="27" t="n"/>
      <c r="D335" s="28" t="n"/>
      <c r="E335" s="28" t="n"/>
      <c r="F335" s="29" t="n"/>
      <c r="G335" s="30" t="n"/>
      <c r="H335" s="20">
        <f>IF(A335="","",TRIM(IF(WEEKDAY(A335,2)&gt;5,"Fin de semana. ","")&amp;IF(SUMIFS($G$2:$G$601,$A$2:$A$601,A335,$D$2:$D$601,D335)&gt;9,"Más de 9 h en el día. ","")&amp;IF(AND(B335&lt;&gt;"",C335&lt;&gt;"",C335&lt;B335),"Cruza la medianoche. ","")&amp;IF(LEN(TRIM(F335))&lt;15,"Sin descripción suficiente. ","")&amp;IF(AND(ISERROR(SEARCH("R-0",F335)),ISERROR(SEARCH("CU-",F335))),"Sin ticket. ","")&amp;IF(ISNA(MATCH(E335,Datos!$E$8:$E$22,0)),"Proyecto sin valor hora. ","")&amp;IF(ISNA(MATCH(D335,Datos!$A$8:$A$22,0)),"Persona fuera del equipo. ","")))</f>
        <v/>
      </c>
      <c r="I335" s="21" t="n"/>
      <c r="J335" s="22" t="n"/>
      <c r="K335" s="23">
        <f>IF(G335="","",IF(J335&lt;&gt;"",MIN(J335,G335),IF(OR(I335="Observada",I335="Rechazada"),0,G335)))</f>
        <v/>
      </c>
      <c r="L335" s="24" t="n"/>
      <c r="M335" s="25">
        <f>IF(OR(A335="",D335=""),0,IF(COUNTIFS($A$2:A335,A335,$D$2:D335,D335)=1,1,0))</f>
        <v/>
      </c>
    </row>
    <row r="336">
      <c r="A336" s="26" t="n"/>
      <c r="B336" s="27" t="n"/>
      <c r="C336" s="27" t="n"/>
      <c r="D336" s="28" t="n"/>
      <c r="E336" s="28" t="n"/>
      <c r="F336" s="29" t="n"/>
      <c r="G336" s="30" t="n"/>
      <c r="H336" s="20">
        <f>IF(A336="","",TRIM(IF(WEEKDAY(A336,2)&gt;5,"Fin de semana. ","")&amp;IF(SUMIFS($G$2:$G$601,$A$2:$A$601,A336,$D$2:$D$601,D336)&gt;9,"Más de 9 h en el día. ","")&amp;IF(AND(B336&lt;&gt;"",C336&lt;&gt;"",C336&lt;B336),"Cruza la medianoche. ","")&amp;IF(LEN(TRIM(F336))&lt;15,"Sin descripción suficiente. ","")&amp;IF(AND(ISERROR(SEARCH("R-0",F336)),ISERROR(SEARCH("CU-",F336))),"Sin ticket. ","")&amp;IF(ISNA(MATCH(E336,Datos!$E$8:$E$22,0)),"Proyecto sin valor hora. ","")&amp;IF(ISNA(MATCH(D336,Datos!$A$8:$A$22,0)),"Persona fuera del equipo. ","")))</f>
        <v/>
      </c>
      <c r="I336" s="21" t="n"/>
      <c r="J336" s="22" t="n"/>
      <c r="K336" s="23">
        <f>IF(G336="","",IF(J336&lt;&gt;"",MIN(J336,G336),IF(OR(I336="Observada",I336="Rechazada"),0,G336)))</f>
        <v/>
      </c>
      <c r="L336" s="24" t="n"/>
      <c r="M336" s="25">
        <f>IF(OR(A336="",D336=""),0,IF(COUNTIFS($A$2:A336,A336,$D$2:D336,D336)=1,1,0))</f>
        <v/>
      </c>
    </row>
    <row r="337">
      <c r="A337" s="26" t="n"/>
      <c r="B337" s="27" t="n"/>
      <c r="C337" s="27" t="n"/>
      <c r="D337" s="28" t="n"/>
      <c r="E337" s="28" t="n"/>
      <c r="F337" s="29" t="n"/>
      <c r="G337" s="30" t="n"/>
      <c r="H337" s="20">
        <f>IF(A337="","",TRIM(IF(WEEKDAY(A337,2)&gt;5,"Fin de semana. ","")&amp;IF(SUMIFS($G$2:$G$601,$A$2:$A$601,A337,$D$2:$D$601,D337)&gt;9,"Más de 9 h en el día. ","")&amp;IF(AND(B337&lt;&gt;"",C337&lt;&gt;"",C337&lt;B337),"Cruza la medianoche. ","")&amp;IF(LEN(TRIM(F337))&lt;15,"Sin descripción suficiente. ","")&amp;IF(AND(ISERROR(SEARCH("R-0",F337)),ISERROR(SEARCH("CU-",F337))),"Sin ticket. ","")&amp;IF(ISNA(MATCH(E337,Datos!$E$8:$E$22,0)),"Proyecto sin valor hora. ","")&amp;IF(ISNA(MATCH(D337,Datos!$A$8:$A$22,0)),"Persona fuera del equipo. ","")))</f>
        <v/>
      </c>
      <c r="I337" s="21" t="n"/>
      <c r="J337" s="22" t="n"/>
      <c r="K337" s="23">
        <f>IF(G337="","",IF(J337&lt;&gt;"",MIN(J337,G337),IF(OR(I337="Observada",I337="Rechazada"),0,G337)))</f>
        <v/>
      </c>
      <c r="L337" s="24" t="n"/>
      <c r="M337" s="25">
        <f>IF(OR(A337="",D337=""),0,IF(COUNTIFS($A$2:A337,A337,$D$2:D337,D337)=1,1,0))</f>
        <v/>
      </c>
    </row>
    <row r="338">
      <c r="A338" s="26" t="n"/>
      <c r="B338" s="27" t="n"/>
      <c r="C338" s="27" t="n"/>
      <c r="D338" s="28" t="n"/>
      <c r="E338" s="28" t="n"/>
      <c r="F338" s="29" t="n"/>
      <c r="G338" s="30" t="n"/>
      <c r="H338" s="20">
        <f>IF(A338="","",TRIM(IF(WEEKDAY(A338,2)&gt;5,"Fin de semana. ","")&amp;IF(SUMIFS($G$2:$G$601,$A$2:$A$601,A338,$D$2:$D$601,D338)&gt;9,"Más de 9 h en el día. ","")&amp;IF(AND(B338&lt;&gt;"",C338&lt;&gt;"",C338&lt;B338),"Cruza la medianoche. ","")&amp;IF(LEN(TRIM(F338))&lt;15,"Sin descripción suficiente. ","")&amp;IF(AND(ISERROR(SEARCH("R-0",F338)),ISERROR(SEARCH("CU-",F338))),"Sin ticket. ","")&amp;IF(ISNA(MATCH(E338,Datos!$E$8:$E$22,0)),"Proyecto sin valor hora. ","")&amp;IF(ISNA(MATCH(D338,Datos!$A$8:$A$22,0)),"Persona fuera del equipo. ","")))</f>
        <v/>
      </c>
      <c r="I338" s="21" t="n"/>
      <c r="J338" s="22" t="n"/>
      <c r="K338" s="23">
        <f>IF(G338="","",IF(J338&lt;&gt;"",MIN(J338,G338),IF(OR(I338="Observada",I338="Rechazada"),0,G338)))</f>
        <v/>
      </c>
      <c r="L338" s="24" t="n"/>
      <c r="M338" s="25">
        <f>IF(OR(A338="",D338=""),0,IF(COUNTIFS($A$2:A338,A338,$D$2:D338,D338)=1,1,0))</f>
        <v/>
      </c>
    </row>
    <row r="339">
      <c r="A339" s="26" t="n"/>
      <c r="B339" s="27" t="n"/>
      <c r="C339" s="27" t="n"/>
      <c r="D339" s="28" t="n"/>
      <c r="E339" s="28" t="n"/>
      <c r="F339" s="29" t="n"/>
      <c r="G339" s="30" t="n"/>
      <c r="H339" s="20">
        <f>IF(A339="","",TRIM(IF(WEEKDAY(A339,2)&gt;5,"Fin de semana. ","")&amp;IF(SUMIFS($G$2:$G$601,$A$2:$A$601,A339,$D$2:$D$601,D339)&gt;9,"Más de 9 h en el día. ","")&amp;IF(AND(B339&lt;&gt;"",C339&lt;&gt;"",C339&lt;B339),"Cruza la medianoche. ","")&amp;IF(LEN(TRIM(F339))&lt;15,"Sin descripción suficiente. ","")&amp;IF(AND(ISERROR(SEARCH("R-0",F339)),ISERROR(SEARCH("CU-",F339))),"Sin ticket. ","")&amp;IF(ISNA(MATCH(E339,Datos!$E$8:$E$22,0)),"Proyecto sin valor hora. ","")&amp;IF(ISNA(MATCH(D339,Datos!$A$8:$A$22,0)),"Persona fuera del equipo. ","")))</f>
        <v/>
      </c>
      <c r="I339" s="21" t="n"/>
      <c r="J339" s="22" t="n"/>
      <c r="K339" s="23">
        <f>IF(G339="","",IF(J339&lt;&gt;"",MIN(J339,G339),IF(OR(I339="Observada",I339="Rechazada"),0,G339)))</f>
        <v/>
      </c>
      <c r="L339" s="24" t="n"/>
      <c r="M339" s="25">
        <f>IF(OR(A339="",D339=""),0,IF(COUNTIFS($A$2:A339,A339,$D$2:D339,D339)=1,1,0))</f>
        <v/>
      </c>
    </row>
    <row r="340">
      <c r="A340" s="26" t="n"/>
      <c r="B340" s="27" t="n"/>
      <c r="C340" s="27" t="n"/>
      <c r="D340" s="28" t="n"/>
      <c r="E340" s="28" t="n"/>
      <c r="F340" s="29" t="n"/>
      <c r="G340" s="30" t="n"/>
      <c r="H340" s="20">
        <f>IF(A340="","",TRIM(IF(WEEKDAY(A340,2)&gt;5,"Fin de semana. ","")&amp;IF(SUMIFS($G$2:$G$601,$A$2:$A$601,A340,$D$2:$D$601,D340)&gt;9,"Más de 9 h en el día. ","")&amp;IF(AND(B340&lt;&gt;"",C340&lt;&gt;"",C340&lt;B340),"Cruza la medianoche. ","")&amp;IF(LEN(TRIM(F340))&lt;15,"Sin descripción suficiente. ","")&amp;IF(AND(ISERROR(SEARCH("R-0",F340)),ISERROR(SEARCH("CU-",F340))),"Sin ticket. ","")&amp;IF(ISNA(MATCH(E340,Datos!$E$8:$E$22,0)),"Proyecto sin valor hora. ","")&amp;IF(ISNA(MATCH(D340,Datos!$A$8:$A$22,0)),"Persona fuera del equipo. ","")))</f>
        <v/>
      </c>
      <c r="I340" s="21" t="n"/>
      <c r="J340" s="22" t="n"/>
      <c r="K340" s="23">
        <f>IF(G340="","",IF(J340&lt;&gt;"",MIN(J340,G340),IF(OR(I340="Observada",I340="Rechazada"),0,G340)))</f>
        <v/>
      </c>
      <c r="L340" s="24" t="n"/>
      <c r="M340" s="25">
        <f>IF(OR(A340="",D340=""),0,IF(COUNTIFS($A$2:A340,A340,$D$2:D340,D340)=1,1,0))</f>
        <v/>
      </c>
    </row>
    <row r="341">
      <c r="A341" s="26" t="n"/>
      <c r="B341" s="27" t="n"/>
      <c r="C341" s="27" t="n"/>
      <c r="D341" s="28" t="n"/>
      <c r="E341" s="28" t="n"/>
      <c r="F341" s="29" t="n"/>
      <c r="G341" s="30" t="n"/>
      <c r="H341" s="20">
        <f>IF(A341="","",TRIM(IF(WEEKDAY(A341,2)&gt;5,"Fin de semana. ","")&amp;IF(SUMIFS($G$2:$G$601,$A$2:$A$601,A341,$D$2:$D$601,D341)&gt;9,"Más de 9 h en el día. ","")&amp;IF(AND(B341&lt;&gt;"",C341&lt;&gt;"",C341&lt;B341),"Cruza la medianoche. ","")&amp;IF(LEN(TRIM(F341))&lt;15,"Sin descripción suficiente. ","")&amp;IF(AND(ISERROR(SEARCH("R-0",F341)),ISERROR(SEARCH("CU-",F341))),"Sin ticket. ","")&amp;IF(ISNA(MATCH(E341,Datos!$E$8:$E$22,0)),"Proyecto sin valor hora. ","")&amp;IF(ISNA(MATCH(D341,Datos!$A$8:$A$22,0)),"Persona fuera del equipo. ","")))</f>
        <v/>
      </c>
      <c r="I341" s="21" t="n"/>
      <c r="J341" s="22" t="n"/>
      <c r="K341" s="23">
        <f>IF(G341="","",IF(J341&lt;&gt;"",MIN(J341,G341),IF(OR(I341="Observada",I341="Rechazada"),0,G341)))</f>
        <v/>
      </c>
      <c r="L341" s="24" t="n"/>
      <c r="M341" s="25">
        <f>IF(OR(A341="",D341=""),0,IF(COUNTIFS($A$2:A341,A341,$D$2:D341,D341)=1,1,0))</f>
        <v/>
      </c>
    </row>
    <row r="342">
      <c r="A342" s="26" t="n"/>
      <c r="B342" s="27" t="n"/>
      <c r="C342" s="27" t="n"/>
      <c r="D342" s="28" t="n"/>
      <c r="E342" s="28" t="n"/>
      <c r="F342" s="29" t="n"/>
      <c r="G342" s="30" t="n"/>
      <c r="H342" s="20">
        <f>IF(A342="","",TRIM(IF(WEEKDAY(A342,2)&gt;5,"Fin de semana. ","")&amp;IF(SUMIFS($G$2:$G$601,$A$2:$A$601,A342,$D$2:$D$601,D342)&gt;9,"Más de 9 h en el día. ","")&amp;IF(AND(B342&lt;&gt;"",C342&lt;&gt;"",C342&lt;B342),"Cruza la medianoche. ","")&amp;IF(LEN(TRIM(F342))&lt;15,"Sin descripción suficiente. ","")&amp;IF(AND(ISERROR(SEARCH("R-0",F342)),ISERROR(SEARCH("CU-",F342))),"Sin ticket. ","")&amp;IF(ISNA(MATCH(E342,Datos!$E$8:$E$22,0)),"Proyecto sin valor hora. ","")&amp;IF(ISNA(MATCH(D342,Datos!$A$8:$A$22,0)),"Persona fuera del equipo. ","")))</f>
        <v/>
      </c>
      <c r="I342" s="21" t="n"/>
      <c r="J342" s="22" t="n"/>
      <c r="K342" s="23">
        <f>IF(G342="","",IF(J342&lt;&gt;"",MIN(J342,G342),IF(OR(I342="Observada",I342="Rechazada"),0,G342)))</f>
        <v/>
      </c>
      <c r="L342" s="24" t="n"/>
      <c r="M342" s="25">
        <f>IF(OR(A342="",D342=""),0,IF(COUNTIFS($A$2:A342,A342,$D$2:D342,D342)=1,1,0))</f>
        <v/>
      </c>
    </row>
    <row r="343">
      <c r="A343" s="26" t="n"/>
      <c r="B343" s="27" t="n"/>
      <c r="C343" s="27" t="n"/>
      <c r="D343" s="28" t="n"/>
      <c r="E343" s="28" t="n"/>
      <c r="F343" s="29" t="n"/>
      <c r="G343" s="30" t="n"/>
      <c r="H343" s="20">
        <f>IF(A343="","",TRIM(IF(WEEKDAY(A343,2)&gt;5,"Fin de semana. ","")&amp;IF(SUMIFS($G$2:$G$601,$A$2:$A$601,A343,$D$2:$D$601,D343)&gt;9,"Más de 9 h en el día. ","")&amp;IF(AND(B343&lt;&gt;"",C343&lt;&gt;"",C343&lt;B343),"Cruza la medianoche. ","")&amp;IF(LEN(TRIM(F343))&lt;15,"Sin descripción suficiente. ","")&amp;IF(AND(ISERROR(SEARCH("R-0",F343)),ISERROR(SEARCH("CU-",F343))),"Sin ticket. ","")&amp;IF(ISNA(MATCH(E343,Datos!$E$8:$E$22,0)),"Proyecto sin valor hora. ","")&amp;IF(ISNA(MATCH(D343,Datos!$A$8:$A$22,0)),"Persona fuera del equipo. ","")))</f>
        <v/>
      </c>
      <c r="I343" s="21" t="n"/>
      <c r="J343" s="22" t="n"/>
      <c r="K343" s="23">
        <f>IF(G343="","",IF(J343&lt;&gt;"",MIN(J343,G343),IF(OR(I343="Observada",I343="Rechazada"),0,G343)))</f>
        <v/>
      </c>
      <c r="L343" s="24" t="n"/>
      <c r="M343" s="25">
        <f>IF(OR(A343="",D343=""),0,IF(COUNTIFS($A$2:A343,A343,$D$2:D343,D343)=1,1,0))</f>
        <v/>
      </c>
    </row>
    <row r="344">
      <c r="A344" s="26" t="n"/>
      <c r="B344" s="27" t="n"/>
      <c r="C344" s="27" t="n"/>
      <c r="D344" s="28" t="n"/>
      <c r="E344" s="28" t="n"/>
      <c r="F344" s="29" t="n"/>
      <c r="G344" s="30" t="n"/>
      <c r="H344" s="20">
        <f>IF(A344="","",TRIM(IF(WEEKDAY(A344,2)&gt;5,"Fin de semana. ","")&amp;IF(SUMIFS($G$2:$G$601,$A$2:$A$601,A344,$D$2:$D$601,D344)&gt;9,"Más de 9 h en el día. ","")&amp;IF(AND(B344&lt;&gt;"",C344&lt;&gt;"",C344&lt;B344),"Cruza la medianoche. ","")&amp;IF(LEN(TRIM(F344))&lt;15,"Sin descripción suficiente. ","")&amp;IF(AND(ISERROR(SEARCH("R-0",F344)),ISERROR(SEARCH("CU-",F344))),"Sin ticket. ","")&amp;IF(ISNA(MATCH(E344,Datos!$E$8:$E$22,0)),"Proyecto sin valor hora. ","")&amp;IF(ISNA(MATCH(D344,Datos!$A$8:$A$22,0)),"Persona fuera del equipo. ","")))</f>
        <v/>
      </c>
      <c r="I344" s="21" t="n"/>
      <c r="J344" s="22" t="n"/>
      <c r="K344" s="23">
        <f>IF(G344="","",IF(J344&lt;&gt;"",MIN(J344,G344),IF(OR(I344="Observada",I344="Rechazada"),0,G344)))</f>
        <v/>
      </c>
      <c r="L344" s="24" t="n"/>
      <c r="M344" s="25">
        <f>IF(OR(A344="",D344=""),0,IF(COUNTIFS($A$2:A344,A344,$D$2:D344,D344)=1,1,0))</f>
        <v/>
      </c>
    </row>
    <row r="345">
      <c r="A345" s="26" t="n"/>
      <c r="B345" s="27" t="n"/>
      <c r="C345" s="27" t="n"/>
      <c r="D345" s="28" t="n"/>
      <c r="E345" s="28" t="n"/>
      <c r="F345" s="29" t="n"/>
      <c r="G345" s="30" t="n"/>
      <c r="H345" s="20">
        <f>IF(A345="","",TRIM(IF(WEEKDAY(A345,2)&gt;5,"Fin de semana. ","")&amp;IF(SUMIFS($G$2:$G$601,$A$2:$A$601,A345,$D$2:$D$601,D345)&gt;9,"Más de 9 h en el día. ","")&amp;IF(AND(B345&lt;&gt;"",C345&lt;&gt;"",C345&lt;B345),"Cruza la medianoche. ","")&amp;IF(LEN(TRIM(F345))&lt;15,"Sin descripción suficiente. ","")&amp;IF(AND(ISERROR(SEARCH("R-0",F345)),ISERROR(SEARCH("CU-",F345))),"Sin ticket. ","")&amp;IF(ISNA(MATCH(E345,Datos!$E$8:$E$22,0)),"Proyecto sin valor hora. ","")&amp;IF(ISNA(MATCH(D345,Datos!$A$8:$A$22,0)),"Persona fuera del equipo. ","")))</f>
        <v/>
      </c>
      <c r="I345" s="21" t="n"/>
      <c r="J345" s="22" t="n"/>
      <c r="K345" s="23">
        <f>IF(G345="","",IF(J345&lt;&gt;"",MIN(J345,G345),IF(OR(I345="Observada",I345="Rechazada"),0,G345)))</f>
        <v/>
      </c>
      <c r="L345" s="24" t="n"/>
      <c r="M345" s="25">
        <f>IF(OR(A345="",D345=""),0,IF(COUNTIFS($A$2:A345,A345,$D$2:D345,D345)=1,1,0))</f>
        <v/>
      </c>
    </row>
    <row r="346">
      <c r="A346" s="26" t="n"/>
      <c r="B346" s="27" t="n"/>
      <c r="C346" s="27" t="n"/>
      <c r="D346" s="28" t="n"/>
      <c r="E346" s="28" t="n"/>
      <c r="F346" s="29" t="n"/>
      <c r="G346" s="30" t="n"/>
      <c r="H346" s="20">
        <f>IF(A346="","",TRIM(IF(WEEKDAY(A346,2)&gt;5,"Fin de semana. ","")&amp;IF(SUMIFS($G$2:$G$601,$A$2:$A$601,A346,$D$2:$D$601,D346)&gt;9,"Más de 9 h en el día. ","")&amp;IF(AND(B346&lt;&gt;"",C346&lt;&gt;"",C346&lt;B346),"Cruza la medianoche. ","")&amp;IF(LEN(TRIM(F346))&lt;15,"Sin descripción suficiente. ","")&amp;IF(AND(ISERROR(SEARCH("R-0",F346)),ISERROR(SEARCH("CU-",F346))),"Sin ticket. ","")&amp;IF(ISNA(MATCH(E346,Datos!$E$8:$E$22,0)),"Proyecto sin valor hora. ","")&amp;IF(ISNA(MATCH(D346,Datos!$A$8:$A$22,0)),"Persona fuera del equipo. ","")))</f>
        <v/>
      </c>
      <c r="I346" s="21" t="n"/>
      <c r="J346" s="22" t="n"/>
      <c r="K346" s="23">
        <f>IF(G346="","",IF(J346&lt;&gt;"",MIN(J346,G346),IF(OR(I346="Observada",I346="Rechazada"),0,G346)))</f>
        <v/>
      </c>
      <c r="L346" s="24" t="n"/>
      <c r="M346" s="25">
        <f>IF(OR(A346="",D346=""),0,IF(COUNTIFS($A$2:A346,A346,$D$2:D346,D346)=1,1,0))</f>
        <v/>
      </c>
    </row>
    <row r="347">
      <c r="A347" s="26" t="n"/>
      <c r="B347" s="27" t="n"/>
      <c r="C347" s="27" t="n"/>
      <c r="D347" s="28" t="n"/>
      <c r="E347" s="28" t="n"/>
      <c r="F347" s="29" t="n"/>
      <c r="G347" s="30" t="n"/>
      <c r="H347" s="20">
        <f>IF(A347="","",TRIM(IF(WEEKDAY(A347,2)&gt;5,"Fin de semana. ","")&amp;IF(SUMIFS($G$2:$G$601,$A$2:$A$601,A347,$D$2:$D$601,D347)&gt;9,"Más de 9 h en el día. ","")&amp;IF(AND(B347&lt;&gt;"",C347&lt;&gt;"",C347&lt;B347),"Cruza la medianoche. ","")&amp;IF(LEN(TRIM(F347))&lt;15,"Sin descripción suficiente. ","")&amp;IF(AND(ISERROR(SEARCH("R-0",F347)),ISERROR(SEARCH("CU-",F347))),"Sin ticket. ","")&amp;IF(ISNA(MATCH(E347,Datos!$E$8:$E$22,0)),"Proyecto sin valor hora. ","")&amp;IF(ISNA(MATCH(D347,Datos!$A$8:$A$22,0)),"Persona fuera del equipo. ","")))</f>
        <v/>
      </c>
      <c r="I347" s="21" t="n"/>
      <c r="J347" s="22" t="n"/>
      <c r="K347" s="23">
        <f>IF(G347="","",IF(J347&lt;&gt;"",MIN(J347,G347),IF(OR(I347="Observada",I347="Rechazada"),0,G347)))</f>
        <v/>
      </c>
      <c r="L347" s="24" t="n"/>
      <c r="M347" s="25">
        <f>IF(OR(A347="",D347=""),0,IF(COUNTIFS($A$2:A347,A347,$D$2:D347,D347)=1,1,0))</f>
        <v/>
      </c>
    </row>
    <row r="348">
      <c r="A348" s="26" t="n"/>
      <c r="B348" s="27" t="n"/>
      <c r="C348" s="27" t="n"/>
      <c r="D348" s="28" t="n"/>
      <c r="E348" s="28" t="n"/>
      <c r="F348" s="29" t="n"/>
      <c r="G348" s="30" t="n"/>
      <c r="H348" s="20">
        <f>IF(A348="","",TRIM(IF(WEEKDAY(A348,2)&gt;5,"Fin de semana. ","")&amp;IF(SUMIFS($G$2:$G$601,$A$2:$A$601,A348,$D$2:$D$601,D348)&gt;9,"Más de 9 h en el día. ","")&amp;IF(AND(B348&lt;&gt;"",C348&lt;&gt;"",C348&lt;B348),"Cruza la medianoche. ","")&amp;IF(LEN(TRIM(F348))&lt;15,"Sin descripción suficiente. ","")&amp;IF(AND(ISERROR(SEARCH("R-0",F348)),ISERROR(SEARCH("CU-",F348))),"Sin ticket. ","")&amp;IF(ISNA(MATCH(E348,Datos!$E$8:$E$22,0)),"Proyecto sin valor hora. ","")&amp;IF(ISNA(MATCH(D348,Datos!$A$8:$A$22,0)),"Persona fuera del equipo. ","")))</f>
        <v/>
      </c>
      <c r="I348" s="21" t="n"/>
      <c r="J348" s="22" t="n"/>
      <c r="K348" s="23">
        <f>IF(G348="","",IF(J348&lt;&gt;"",MIN(J348,G348),IF(OR(I348="Observada",I348="Rechazada"),0,G348)))</f>
        <v/>
      </c>
      <c r="L348" s="24" t="n"/>
      <c r="M348" s="25">
        <f>IF(OR(A348="",D348=""),0,IF(COUNTIFS($A$2:A348,A348,$D$2:D348,D348)=1,1,0))</f>
        <v/>
      </c>
    </row>
    <row r="349">
      <c r="A349" s="26" t="n"/>
      <c r="B349" s="27" t="n"/>
      <c r="C349" s="27" t="n"/>
      <c r="D349" s="28" t="n"/>
      <c r="E349" s="28" t="n"/>
      <c r="F349" s="29" t="n"/>
      <c r="G349" s="30" t="n"/>
      <c r="H349" s="20">
        <f>IF(A349="","",TRIM(IF(WEEKDAY(A349,2)&gt;5,"Fin de semana. ","")&amp;IF(SUMIFS($G$2:$G$601,$A$2:$A$601,A349,$D$2:$D$601,D349)&gt;9,"Más de 9 h en el día. ","")&amp;IF(AND(B349&lt;&gt;"",C349&lt;&gt;"",C349&lt;B349),"Cruza la medianoche. ","")&amp;IF(LEN(TRIM(F349))&lt;15,"Sin descripción suficiente. ","")&amp;IF(AND(ISERROR(SEARCH("R-0",F349)),ISERROR(SEARCH("CU-",F349))),"Sin ticket. ","")&amp;IF(ISNA(MATCH(E349,Datos!$E$8:$E$22,0)),"Proyecto sin valor hora. ","")&amp;IF(ISNA(MATCH(D349,Datos!$A$8:$A$22,0)),"Persona fuera del equipo. ","")))</f>
        <v/>
      </c>
      <c r="I349" s="21" t="n"/>
      <c r="J349" s="22" t="n"/>
      <c r="K349" s="23">
        <f>IF(G349="","",IF(J349&lt;&gt;"",MIN(J349,G349),IF(OR(I349="Observada",I349="Rechazada"),0,G349)))</f>
        <v/>
      </c>
      <c r="L349" s="24" t="n"/>
      <c r="M349" s="25">
        <f>IF(OR(A349="",D349=""),0,IF(COUNTIFS($A$2:A349,A349,$D$2:D349,D349)=1,1,0))</f>
        <v/>
      </c>
    </row>
    <row r="350">
      <c r="A350" s="26" t="n"/>
      <c r="B350" s="27" t="n"/>
      <c r="C350" s="27" t="n"/>
      <c r="D350" s="28" t="n"/>
      <c r="E350" s="28" t="n"/>
      <c r="F350" s="29" t="n"/>
      <c r="G350" s="30" t="n"/>
      <c r="H350" s="20">
        <f>IF(A350="","",TRIM(IF(WEEKDAY(A350,2)&gt;5,"Fin de semana. ","")&amp;IF(SUMIFS($G$2:$G$601,$A$2:$A$601,A350,$D$2:$D$601,D350)&gt;9,"Más de 9 h en el día. ","")&amp;IF(AND(B350&lt;&gt;"",C350&lt;&gt;"",C350&lt;B350),"Cruza la medianoche. ","")&amp;IF(LEN(TRIM(F350))&lt;15,"Sin descripción suficiente. ","")&amp;IF(AND(ISERROR(SEARCH("R-0",F350)),ISERROR(SEARCH("CU-",F350))),"Sin ticket. ","")&amp;IF(ISNA(MATCH(E350,Datos!$E$8:$E$22,0)),"Proyecto sin valor hora. ","")&amp;IF(ISNA(MATCH(D350,Datos!$A$8:$A$22,0)),"Persona fuera del equipo. ","")))</f>
        <v/>
      </c>
      <c r="I350" s="21" t="n"/>
      <c r="J350" s="22" t="n"/>
      <c r="K350" s="23">
        <f>IF(G350="","",IF(J350&lt;&gt;"",MIN(J350,G350),IF(OR(I350="Observada",I350="Rechazada"),0,G350)))</f>
        <v/>
      </c>
      <c r="L350" s="24" t="n"/>
      <c r="M350" s="25">
        <f>IF(OR(A350="",D350=""),0,IF(COUNTIFS($A$2:A350,A350,$D$2:D350,D350)=1,1,0))</f>
        <v/>
      </c>
    </row>
    <row r="351">
      <c r="A351" s="26" t="n"/>
      <c r="B351" s="27" t="n"/>
      <c r="C351" s="27" t="n"/>
      <c r="D351" s="28" t="n"/>
      <c r="E351" s="28" t="n"/>
      <c r="F351" s="29" t="n"/>
      <c r="G351" s="30" t="n"/>
      <c r="H351" s="20">
        <f>IF(A351="","",TRIM(IF(WEEKDAY(A351,2)&gt;5,"Fin de semana. ","")&amp;IF(SUMIFS($G$2:$G$601,$A$2:$A$601,A351,$D$2:$D$601,D351)&gt;9,"Más de 9 h en el día. ","")&amp;IF(AND(B351&lt;&gt;"",C351&lt;&gt;"",C351&lt;B351),"Cruza la medianoche. ","")&amp;IF(LEN(TRIM(F351))&lt;15,"Sin descripción suficiente. ","")&amp;IF(AND(ISERROR(SEARCH("R-0",F351)),ISERROR(SEARCH("CU-",F351))),"Sin ticket. ","")&amp;IF(ISNA(MATCH(E351,Datos!$E$8:$E$22,0)),"Proyecto sin valor hora. ","")&amp;IF(ISNA(MATCH(D351,Datos!$A$8:$A$22,0)),"Persona fuera del equipo. ","")))</f>
        <v/>
      </c>
      <c r="I351" s="21" t="n"/>
      <c r="J351" s="22" t="n"/>
      <c r="K351" s="23">
        <f>IF(G351="","",IF(J351&lt;&gt;"",MIN(J351,G351),IF(OR(I351="Observada",I351="Rechazada"),0,G351)))</f>
        <v/>
      </c>
      <c r="L351" s="24" t="n"/>
      <c r="M351" s="25">
        <f>IF(OR(A351="",D351=""),0,IF(COUNTIFS($A$2:A351,A351,$D$2:D351,D351)=1,1,0))</f>
        <v/>
      </c>
    </row>
    <row r="352">
      <c r="A352" s="26" t="n"/>
      <c r="B352" s="27" t="n"/>
      <c r="C352" s="27" t="n"/>
      <c r="D352" s="28" t="n"/>
      <c r="E352" s="28" t="n"/>
      <c r="F352" s="29" t="n"/>
      <c r="G352" s="30" t="n"/>
      <c r="H352" s="20">
        <f>IF(A352="","",TRIM(IF(WEEKDAY(A352,2)&gt;5,"Fin de semana. ","")&amp;IF(SUMIFS($G$2:$G$601,$A$2:$A$601,A352,$D$2:$D$601,D352)&gt;9,"Más de 9 h en el día. ","")&amp;IF(AND(B352&lt;&gt;"",C352&lt;&gt;"",C352&lt;B352),"Cruza la medianoche. ","")&amp;IF(LEN(TRIM(F352))&lt;15,"Sin descripción suficiente. ","")&amp;IF(AND(ISERROR(SEARCH("R-0",F352)),ISERROR(SEARCH("CU-",F352))),"Sin ticket. ","")&amp;IF(ISNA(MATCH(E352,Datos!$E$8:$E$22,0)),"Proyecto sin valor hora. ","")&amp;IF(ISNA(MATCH(D352,Datos!$A$8:$A$22,0)),"Persona fuera del equipo. ","")))</f>
        <v/>
      </c>
      <c r="I352" s="21" t="n"/>
      <c r="J352" s="22" t="n"/>
      <c r="K352" s="23">
        <f>IF(G352="","",IF(J352&lt;&gt;"",MIN(J352,G352),IF(OR(I352="Observada",I352="Rechazada"),0,G352)))</f>
        <v/>
      </c>
      <c r="L352" s="24" t="n"/>
      <c r="M352" s="25">
        <f>IF(OR(A352="",D352=""),0,IF(COUNTIFS($A$2:A352,A352,$D$2:D352,D352)=1,1,0))</f>
        <v/>
      </c>
    </row>
    <row r="353">
      <c r="A353" s="26" t="n"/>
      <c r="B353" s="27" t="n"/>
      <c r="C353" s="27" t="n"/>
      <c r="D353" s="28" t="n"/>
      <c r="E353" s="28" t="n"/>
      <c r="F353" s="29" t="n"/>
      <c r="G353" s="30" t="n"/>
      <c r="H353" s="20">
        <f>IF(A353="","",TRIM(IF(WEEKDAY(A353,2)&gt;5,"Fin de semana. ","")&amp;IF(SUMIFS($G$2:$G$601,$A$2:$A$601,A353,$D$2:$D$601,D353)&gt;9,"Más de 9 h en el día. ","")&amp;IF(AND(B353&lt;&gt;"",C353&lt;&gt;"",C353&lt;B353),"Cruza la medianoche. ","")&amp;IF(LEN(TRIM(F353))&lt;15,"Sin descripción suficiente. ","")&amp;IF(AND(ISERROR(SEARCH("R-0",F353)),ISERROR(SEARCH("CU-",F353))),"Sin ticket. ","")&amp;IF(ISNA(MATCH(E353,Datos!$E$8:$E$22,0)),"Proyecto sin valor hora. ","")&amp;IF(ISNA(MATCH(D353,Datos!$A$8:$A$22,0)),"Persona fuera del equipo. ","")))</f>
        <v/>
      </c>
      <c r="I353" s="21" t="n"/>
      <c r="J353" s="22" t="n"/>
      <c r="K353" s="23">
        <f>IF(G353="","",IF(J353&lt;&gt;"",MIN(J353,G353),IF(OR(I353="Observada",I353="Rechazada"),0,G353)))</f>
        <v/>
      </c>
      <c r="L353" s="24" t="n"/>
      <c r="M353" s="25">
        <f>IF(OR(A353="",D353=""),0,IF(COUNTIFS($A$2:A353,A353,$D$2:D353,D353)=1,1,0))</f>
        <v/>
      </c>
    </row>
    <row r="354">
      <c r="A354" s="26" t="n"/>
      <c r="B354" s="27" t="n"/>
      <c r="C354" s="27" t="n"/>
      <c r="D354" s="28" t="n"/>
      <c r="E354" s="28" t="n"/>
      <c r="F354" s="29" t="n"/>
      <c r="G354" s="30" t="n"/>
      <c r="H354" s="20">
        <f>IF(A354="","",TRIM(IF(WEEKDAY(A354,2)&gt;5,"Fin de semana. ","")&amp;IF(SUMIFS($G$2:$G$601,$A$2:$A$601,A354,$D$2:$D$601,D354)&gt;9,"Más de 9 h en el día. ","")&amp;IF(AND(B354&lt;&gt;"",C354&lt;&gt;"",C354&lt;B354),"Cruza la medianoche. ","")&amp;IF(LEN(TRIM(F354))&lt;15,"Sin descripción suficiente. ","")&amp;IF(AND(ISERROR(SEARCH("R-0",F354)),ISERROR(SEARCH("CU-",F354))),"Sin ticket. ","")&amp;IF(ISNA(MATCH(E354,Datos!$E$8:$E$22,0)),"Proyecto sin valor hora. ","")&amp;IF(ISNA(MATCH(D354,Datos!$A$8:$A$22,0)),"Persona fuera del equipo. ","")))</f>
        <v/>
      </c>
      <c r="I354" s="21" t="n"/>
      <c r="J354" s="22" t="n"/>
      <c r="K354" s="23">
        <f>IF(G354="","",IF(J354&lt;&gt;"",MIN(J354,G354),IF(OR(I354="Observada",I354="Rechazada"),0,G354)))</f>
        <v/>
      </c>
      <c r="L354" s="24" t="n"/>
      <c r="M354" s="25">
        <f>IF(OR(A354="",D354=""),0,IF(COUNTIFS($A$2:A354,A354,$D$2:D354,D354)=1,1,0))</f>
        <v/>
      </c>
    </row>
    <row r="355">
      <c r="A355" s="26" t="n"/>
      <c r="B355" s="27" t="n"/>
      <c r="C355" s="27" t="n"/>
      <c r="D355" s="28" t="n"/>
      <c r="E355" s="28" t="n"/>
      <c r="F355" s="29" t="n"/>
      <c r="G355" s="30" t="n"/>
      <c r="H355" s="20">
        <f>IF(A355="","",TRIM(IF(WEEKDAY(A355,2)&gt;5,"Fin de semana. ","")&amp;IF(SUMIFS($G$2:$G$601,$A$2:$A$601,A355,$D$2:$D$601,D355)&gt;9,"Más de 9 h en el día. ","")&amp;IF(AND(B355&lt;&gt;"",C355&lt;&gt;"",C355&lt;B355),"Cruza la medianoche. ","")&amp;IF(LEN(TRIM(F355))&lt;15,"Sin descripción suficiente. ","")&amp;IF(AND(ISERROR(SEARCH("R-0",F355)),ISERROR(SEARCH("CU-",F355))),"Sin ticket. ","")&amp;IF(ISNA(MATCH(E355,Datos!$E$8:$E$22,0)),"Proyecto sin valor hora. ","")&amp;IF(ISNA(MATCH(D355,Datos!$A$8:$A$22,0)),"Persona fuera del equipo. ","")))</f>
        <v/>
      </c>
      <c r="I355" s="21" t="n"/>
      <c r="J355" s="22" t="n"/>
      <c r="K355" s="23">
        <f>IF(G355="","",IF(J355&lt;&gt;"",MIN(J355,G355),IF(OR(I355="Observada",I355="Rechazada"),0,G355)))</f>
        <v/>
      </c>
      <c r="L355" s="24" t="n"/>
      <c r="M355" s="25">
        <f>IF(OR(A355="",D355=""),0,IF(COUNTIFS($A$2:A355,A355,$D$2:D355,D355)=1,1,0))</f>
        <v/>
      </c>
    </row>
    <row r="356">
      <c r="A356" s="26" t="n"/>
      <c r="B356" s="27" t="n"/>
      <c r="C356" s="27" t="n"/>
      <c r="D356" s="28" t="n"/>
      <c r="E356" s="28" t="n"/>
      <c r="F356" s="29" t="n"/>
      <c r="G356" s="30" t="n"/>
      <c r="H356" s="20">
        <f>IF(A356="","",TRIM(IF(WEEKDAY(A356,2)&gt;5,"Fin de semana. ","")&amp;IF(SUMIFS($G$2:$G$601,$A$2:$A$601,A356,$D$2:$D$601,D356)&gt;9,"Más de 9 h en el día. ","")&amp;IF(AND(B356&lt;&gt;"",C356&lt;&gt;"",C356&lt;B356),"Cruza la medianoche. ","")&amp;IF(LEN(TRIM(F356))&lt;15,"Sin descripción suficiente. ","")&amp;IF(AND(ISERROR(SEARCH("R-0",F356)),ISERROR(SEARCH("CU-",F356))),"Sin ticket. ","")&amp;IF(ISNA(MATCH(E356,Datos!$E$8:$E$22,0)),"Proyecto sin valor hora. ","")&amp;IF(ISNA(MATCH(D356,Datos!$A$8:$A$22,0)),"Persona fuera del equipo. ","")))</f>
        <v/>
      </c>
      <c r="I356" s="21" t="n"/>
      <c r="J356" s="22" t="n"/>
      <c r="K356" s="23">
        <f>IF(G356="","",IF(J356&lt;&gt;"",MIN(J356,G356),IF(OR(I356="Observada",I356="Rechazada"),0,G356)))</f>
        <v/>
      </c>
      <c r="L356" s="24" t="n"/>
      <c r="M356" s="25">
        <f>IF(OR(A356="",D356=""),0,IF(COUNTIFS($A$2:A356,A356,$D$2:D356,D356)=1,1,0))</f>
        <v/>
      </c>
    </row>
    <row r="357">
      <c r="A357" s="26" t="n"/>
      <c r="B357" s="27" t="n"/>
      <c r="C357" s="27" t="n"/>
      <c r="D357" s="28" t="n"/>
      <c r="E357" s="28" t="n"/>
      <c r="F357" s="29" t="n"/>
      <c r="G357" s="30" t="n"/>
      <c r="H357" s="20">
        <f>IF(A357="","",TRIM(IF(WEEKDAY(A357,2)&gt;5,"Fin de semana. ","")&amp;IF(SUMIFS($G$2:$G$601,$A$2:$A$601,A357,$D$2:$D$601,D357)&gt;9,"Más de 9 h en el día. ","")&amp;IF(AND(B357&lt;&gt;"",C357&lt;&gt;"",C357&lt;B357),"Cruza la medianoche. ","")&amp;IF(LEN(TRIM(F357))&lt;15,"Sin descripción suficiente. ","")&amp;IF(AND(ISERROR(SEARCH("R-0",F357)),ISERROR(SEARCH("CU-",F357))),"Sin ticket. ","")&amp;IF(ISNA(MATCH(E357,Datos!$E$8:$E$22,0)),"Proyecto sin valor hora. ","")&amp;IF(ISNA(MATCH(D357,Datos!$A$8:$A$22,0)),"Persona fuera del equipo. ","")))</f>
        <v/>
      </c>
      <c r="I357" s="21" t="n"/>
      <c r="J357" s="22" t="n"/>
      <c r="K357" s="23">
        <f>IF(G357="","",IF(J357&lt;&gt;"",MIN(J357,G357),IF(OR(I357="Observada",I357="Rechazada"),0,G357)))</f>
        <v/>
      </c>
      <c r="L357" s="24" t="n"/>
      <c r="M357" s="25">
        <f>IF(OR(A357="",D357=""),0,IF(COUNTIFS($A$2:A357,A357,$D$2:D357,D357)=1,1,0))</f>
        <v/>
      </c>
    </row>
    <row r="358">
      <c r="A358" s="26" t="n"/>
      <c r="B358" s="27" t="n"/>
      <c r="C358" s="27" t="n"/>
      <c r="D358" s="28" t="n"/>
      <c r="E358" s="28" t="n"/>
      <c r="F358" s="29" t="n"/>
      <c r="G358" s="30" t="n"/>
      <c r="H358" s="20">
        <f>IF(A358="","",TRIM(IF(WEEKDAY(A358,2)&gt;5,"Fin de semana. ","")&amp;IF(SUMIFS($G$2:$G$601,$A$2:$A$601,A358,$D$2:$D$601,D358)&gt;9,"Más de 9 h en el día. ","")&amp;IF(AND(B358&lt;&gt;"",C358&lt;&gt;"",C358&lt;B358),"Cruza la medianoche. ","")&amp;IF(LEN(TRIM(F358))&lt;15,"Sin descripción suficiente. ","")&amp;IF(AND(ISERROR(SEARCH("R-0",F358)),ISERROR(SEARCH("CU-",F358))),"Sin ticket. ","")&amp;IF(ISNA(MATCH(E358,Datos!$E$8:$E$22,0)),"Proyecto sin valor hora. ","")&amp;IF(ISNA(MATCH(D358,Datos!$A$8:$A$22,0)),"Persona fuera del equipo. ","")))</f>
        <v/>
      </c>
      <c r="I358" s="21" t="n"/>
      <c r="J358" s="22" t="n"/>
      <c r="K358" s="23">
        <f>IF(G358="","",IF(J358&lt;&gt;"",MIN(J358,G358),IF(OR(I358="Observada",I358="Rechazada"),0,G358)))</f>
        <v/>
      </c>
      <c r="L358" s="24" t="n"/>
      <c r="M358" s="25">
        <f>IF(OR(A358="",D358=""),0,IF(COUNTIFS($A$2:A358,A358,$D$2:D358,D358)=1,1,0))</f>
        <v/>
      </c>
    </row>
    <row r="359">
      <c r="A359" s="26" t="n"/>
      <c r="B359" s="27" t="n"/>
      <c r="C359" s="27" t="n"/>
      <c r="D359" s="28" t="n"/>
      <c r="E359" s="28" t="n"/>
      <c r="F359" s="29" t="n"/>
      <c r="G359" s="30" t="n"/>
      <c r="H359" s="20">
        <f>IF(A359="","",TRIM(IF(WEEKDAY(A359,2)&gt;5,"Fin de semana. ","")&amp;IF(SUMIFS($G$2:$G$601,$A$2:$A$601,A359,$D$2:$D$601,D359)&gt;9,"Más de 9 h en el día. ","")&amp;IF(AND(B359&lt;&gt;"",C359&lt;&gt;"",C359&lt;B359),"Cruza la medianoche. ","")&amp;IF(LEN(TRIM(F359))&lt;15,"Sin descripción suficiente. ","")&amp;IF(AND(ISERROR(SEARCH("R-0",F359)),ISERROR(SEARCH("CU-",F359))),"Sin ticket. ","")&amp;IF(ISNA(MATCH(E359,Datos!$E$8:$E$22,0)),"Proyecto sin valor hora. ","")&amp;IF(ISNA(MATCH(D359,Datos!$A$8:$A$22,0)),"Persona fuera del equipo. ","")))</f>
        <v/>
      </c>
      <c r="I359" s="21" t="n"/>
      <c r="J359" s="22" t="n"/>
      <c r="K359" s="23">
        <f>IF(G359="","",IF(J359&lt;&gt;"",MIN(J359,G359),IF(OR(I359="Observada",I359="Rechazada"),0,G359)))</f>
        <v/>
      </c>
      <c r="L359" s="24" t="n"/>
      <c r="M359" s="25">
        <f>IF(OR(A359="",D359=""),0,IF(COUNTIFS($A$2:A359,A359,$D$2:D359,D359)=1,1,0))</f>
        <v/>
      </c>
    </row>
    <row r="360">
      <c r="A360" s="26" t="n"/>
      <c r="B360" s="27" t="n"/>
      <c r="C360" s="27" t="n"/>
      <c r="D360" s="28" t="n"/>
      <c r="E360" s="28" t="n"/>
      <c r="F360" s="29" t="n"/>
      <c r="G360" s="30" t="n"/>
      <c r="H360" s="20">
        <f>IF(A360="","",TRIM(IF(WEEKDAY(A360,2)&gt;5,"Fin de semana. ","")&amp;IF(SUMIFS($G$2:$G$601,$A$2:$A$601,A360,$D$2:$D$601,D360)&gt;9,"Más de 9 h en el día. ","")&amp;IF(AND(B360&lt;&gt;"",C360&lt;&gt;"",C360&lt;B360),"Cruza la medianoche. ","")&amp;IF(LEN(TRIM(F360))&lt;15,"Sin descripción suficiente. ","")&amp;IF(AND(ISERROR(SEARCH("R-0",F360)),ISERROR(SEARCH("CU-",F360))),"Sin ticket. ","")&amp;IF(ISNA(MATCH(E360,Datos!$E$8:$E$22,0)),"Proyecto sin valor hora. ","")&amp;IF(ISNA(MATCH(D360,Datos!$A$8:$A$22,0)),"Persona fuera del equipo. ","")))</f>
        <v/>
      </c>
      <c r="I360" s="21" t="n"/>
      <c r="J360" s="22" t="n"/>
      <c r="K360" s="23">
        <f>IF(G360="","",IF(J360&lt;&gt;"",MIN(J360,G360),IF(OR(I360="Observada",I360="Rechazada"),0,G360)))</f>
        <v/>
      </c>
      <c r="L360" s="24" t="n"/>
      <c r="M360" s="25">
        <f>IF(OR(A360="",D360=""),0,IF(COUNTIFS($A$2:A360,A360,$D$2:D360,D360)=1,1,0))</f>
        <v/>
      </c>
    </row>
    <row r="361">
      <c r="A361" s="26" t="n"/>
      <c r="B361" s="27" t="n"/>
      <c r="C361" s="27" t="n"/>
      <c r="D361" s="28" t="n"/>
      <c r="E361" s="28" t="n"/>
      <c r="F361" s="29" t="n"/>
      <c r="G361" s="30" t="n"/>
      <c r="H361" s="20">
        <f>IF(A361="","",TRIM(IF(WEEKDAY(A361,2)&gt;5,"Fin de semana. ","")&amp;IF(SUMIFS($G$2:$G$601,$A$2:$A$601,A361,$D$2:$D$601,D361)&gt;9,"Más de 9 h en el día. ","")&amp;IF(AND(B361&lt;&gt;"",C361&lt;&gt;"",C361&lt;B361),"Cruza la medianoche. ","")&amp;IF(LEN(TRIM(F361))&lt;15,"Sin descripción suficiente. ","")&amp;IF(AND(ISERROR(SEARCH("R-0",F361)),ISERROR(SEARCH("CU-",F361))),"Sin ticket. ","")&amp;IF(ISNA(MATCH(E361,Datos!$E$8:$E$22,0)),"Proyecto sin valor hora. ","")&amp;IF(ISNA(MATCH(D361,Datos!$A$8:$A$22,0)),"Persona fuera del equipo. ","")))</f>
        <v/>
      </c>
      <c r="I361" s="21" t="n"/>
      <c r="J361" s="22" t="n"/>
      <c r="K361" s="23">
        <f>IF(G361="","",IF(J361&lt;&gt;"",MIN(J361,G361),IF(OR(I361="Observada",I361="Rechazada"),0,G361)))</f>
        <v/>
      </c>
      <c r="L361" s="24" t="n"/>
      <c r="M361" s="25">
        <f>IF(OR(A361="",D361=""),0,IF(COUNTIFS($A$2:A361,A361,$D$2:D361,D361)=1,1,0))</f>
        <v/>
      </c>
    </row>
    <row r="362">
      <c r="A362" s="26" t="n"/>
      <c r="B362" s="27" t="n"/>
      <c r="C362" s="27" t="n"/>
      <c r="D362" s="28" t="n"/>
      <c r="E362" s="28" t="n"/>
      <c r="F362" s="29" t="n"/>
      <c r="G362" s="30" t="n"/>
      <c r="H362" s="20">
        <f>IF(A362="","",TRIM(IF(WEEKDAY(A362,2)&gt;5,"Fin de semana. ","")&amp;IF(SUMIFS($G$2:$G$601,$A$2:$A$601,A362,$D$2:$D$601,D362)&gt;9,"Más de 9 h en el día. ","")&amp;IF(AND(B362&lt;&gt;"",C362&lt;&gt;"",C362&lt;B362),"Cruza la medianoche. ","")&amp;IF(LEN(TRIM(F362))&lt;15,"Sin descripción suficiente. ","")&amp;IF(AND(ISERROR(SEARCH("R-0",F362)),ISERROR(SEARCH("CU-",F362))),"Sin ticket. ","")&amp;IF(ISNA(MATCH(E362,Datos!$E$8:$E$22,0)),"Proyecto sin valor hora. ","")&amp;IF(ISNA(MATCH(D362,Datos!$A$8:$A$22,0)),"Persona fuera del equipo. ","")))</f>
        <v/>
      </c>
      <c r="I362" s="21" t="n"/>
      <c r="J362" s="22" t="n"/>
      <c r="K362" s="23">
        <f>IF(G362="","",IF(J362&lt;&gt;"",MIN(J362,G362),IF(OR(I362="Observada",I362="Rechazada"),0,G362)))</f>
        <v/>
      </c>
      <c r="L362" s="24" t="n"/>
      <c r="M362" s="25">
        <f>IF(OR(A362="",D362=""),0,IF(COUNTIFS($A$2:A362,A362,$D$2:D362,D362)=1,1,0))</f>
        <v/>
      </c>
    </row>
    <row r="363">
      <c r="A363" s="26" t="n"/>
      <c r="B363" s="27" t="n"/>
      <c r="C363" s="27" t="n"/>
      <c r="D363" s="28" t="n"/>
      <c r="E363" s="28" t="n"/>
      <c r="F363" s="29" t="n"/>
      <c r="G363" s="30" t="n"/>
      <c r="H363" s="20">
        <f>IF(A363="","",TRIM(IF(WEEKDAY(A363,2)&gt;5,"Fin de semana. ","")&amp;IF(SUMIFS($G$2:$G$601,$A$2:$A$601,A363,$D$2:$D$601,D363)&gt;9,"Más de 9 h en el día. ","")&amp;IF(AND(B363&lt;&gt;"",C363&lt;&gt;"",C363&lt;B363),"Cruza la medianoche. ","")&amp;IF(LEN(TRIM(F363))&lt;15,"Sin descripción suficiente. ","")&amp;IF(AND(ISERROR(SEARCH("R-0",F363)),ISERROR(SEARCH("CU-",F363))),"Sin ticket. ","")&amp;IF(ISNA(MATCH(E363,Datos!$E$8:$E$22,0)),"Proyecto sin valor hora. ","")&amp;IF(ISNA(MATCH(D363,Datos!$A$8:$A$22,0)),"Persona fuera del equipo. ","")))</f>
        <v/>
      </c>
      <c r="I363" s="21" t="n"/>
      <c r="J363" s="22" t="n"/>
      <c r="K363" s="23">
        <f>IF(G363="","",IF(J363&lt;&gt;"",MIN(J363,G363),IF(OR(I363="Observada",I363="Rechazada"),0,G363)))</f>
        <v/>
      </c>
      <c r="L363" s="24" t="n"/>
      <c r="M363" s="25">
        <f>IF(OR(A363="",D363=""),0,IF(COUNTIFS($A$2:A363,A363,$D$2:D363,D363)=1,1,0))</f>
        <v/>
      </c>
    </row>
    <row r="364">
      <c r="A364" s="26" t="n"/>
      <c r="B364" s="27" t="n"/>
      <c r="C364" s="27" t="n"/>
      <c r="D364" s="28" t="n"/>
      <c r="E364" s="28" t="n"/>
      <c r="F364" s="29" t="n"/>
      <c r="G364" s="30" t="n"/>
      <c r="H364" s="20">
        <f>IF(A364="","",TRIM(IF(WEEKDAY(A364,2)&gt;5,"Fin de semana. ","")&amp;IF(SUMIFS($G$2:$G$601,$A$2:$A$601,A364,$D$2:$D$601,D364)&gt;9,"Más de 9 h en el día. ","")&amp;IF(AND(B364&lt;&gt;"",C364&lt;&gt;"",C364&lt;B364),"Cruza la medianoche. ","")&amp;IF(LEN(TRIM(F364))&lt;15,"Sin descripción suficiente. ","")&amp;IF(AND(ISERROR(SEARCH("R-0",F364)),ISERROR(SEARCH("CU-",F364))),"Sin ticket. ","")&amp;IF(ISNA(MATCH(E364,Datos!$E$8:$E$22,0)),"Proyecto sin valor hora. ","")&amp;IF(ISNA(MATCH(D364,Datos!$A$8:$A$22,0)),"Persona fuera del equipo. ","")))</f>
        <v/>
      </c>
      <c r="I364" s="21" t="n"/>
      <c r="J364" s="22" t="n"/>
      <c r="K364" s="23">
        <f>IF(G364="","",IF(J364&lt;&gt;"",MIN(J364,G364),IF(OR(I364="Observada",I364="Rechazada"),0,G364)))</f>
        <v/>
      </c>
      <c r="L364" s="24" t="n"/>
      <c r="M364" s="25">
        <f>IF(OR(A364="",D364=""),0,IF(COUNTIFS($A$2:A364,A364,$D$2:D364,D364)=1,1,0))</f>
        <v/>
      </c>
    </row>
    <row r="365">
      <c r="A365" s="26" t="n"/>
      <c r="B365" s="27" t="n"/>
      <c r="C365" s="27" t="n"/>
      <c r="D365" s="28" t="n"/>
      <c r="E365" s="28" t="n"/>
      <c r="F365" s="29" t="n"/>
      <c r="G365" s="30" t="n"/>
      <c r="H365" s="20">
        <f>IF(A365="","",TRIM(IF(WEEKDAY(A365,2)&gt;5,"Fin de semana. ","")&amp;IF(SUMIFS($G$2:$G$601,$A$2:$A$601,A365,$D$2:$D$601,D365)&gt;9,"Más de 9 h en el día. ","")&amp;IF(AND(B365&lt;&gt;"",C365&lt;&gt;"",C365&lt;B365),"Cruza la medianoche. ","")&amp;IF(LEN(TRIM(F365))&lt;15,"Sin descripción suficiente. ","")&amp;IF(AND(ISERROR(SEARCH("R-0",F365)),ISERROR(SEARCH("CU-",F365))),"Sin ticket. ","")&amp;IF(ISNA(MATCH(E365,Datos!$E$8:$E$22,0)),"Proyecto sin valor hora. ","")&amp;IF(ISNA(MATCH(D365,Datos!$A$8:$A$22,0)),"Persona fuera del equipo. ","")))</f>
        <v/>
      </c>
      <c r="I365" s="21" t="n"/>
      <c r="J365" s="22" t="n"/>
      <c r="K365" s="23">
        <f>IF(G365="","",IF(J365&lt;&gt;"",MIN(J365,G365),IF(OR(I365="Observada",I365="Rechazada"),0,G365)))</f>
        <v/>
      </c>
      <c r="L365" s="24" t="n"/>
      <c r="M365" s="25">
        <f>IF(OR(A365="",D365=""),0,IF(COUNTIFS($A$2:A365,A365,$D$2:D365,D365)=1,1,0))</f>
        <v/>
      </c>
    </row>
    <row r="366">
      <c r="A366" s="26" t="n"/>
      <c r="B366" s="27" t="n"/>
      <c r="C366" s="27" t="n"/>
      <c r="D366" s="28" t="n"/>
      <c r="E366" s="28" t="n"/>
      <c r="F366" s="29" t="n"/>
      <c r="G366" s="30" t="n"/>
      <c r="H366" s="20">
        <f>IF(A366="","",TRIM(IF(WEEKDAY(A366,2)&gt;5,"Fin de semana. ","")&amp;IF(SUMIFS($G$2:$G$601,$A$2:$A$601,A366,$D$2:$D$601,D366)&gt;9,"Más de 9 h en el día. ","")&amp;IF(AND(B366&lt;&gt;"",C366&lt;&gt;"",C366&lt;B366),"Cruza la medianoche. ","")&amp;IF(LEN(TRIM(F366))&lt;15,"Sin descripción suficiente. ","")&amp;IF(AND(ISERROR(SEARCH("R-0",F366)),ISERROR(SEARCH("CU-",F366))),"Sin ticket. ","")&amp;IF(ISNA(MATCH(E366,Datos!$E$8:$E$22,0)),"Proyecto sin valor hora. ","")&amp;IF(ISNA(MATCH(D366,Datos!$A$8:$A$22,0)),"Persona fuera del equipo. ","")))</f>
        <v/>
      </c>
      <c r="I366" s="21" t="n"/>
      <c r="J366" s="22" t="n"/>
      <c r="K366" s="23">
        <f>IF(G366="","",IF(J366&lt;&gt;"",MIN(J366,G366),IF(OR(I366="Observada",I366="Rechazada"),0,G366)))</f>
        <v/>
      </c>
      <c r="L366" s="24" t="n"/>
      <c r="M366" s="25">
        <f>IF(OR(A366="",D366=""),0,IF(COUNTIFS($A$2:A366,A366,$D$2:D366,D366)=1,1,0))</f>
        <v/>
      </c>
    </row>
    <row r="367">
      <c r="A367" s="26" t="n"/>
      <c r="B367" s="27" t="n"/>
      <c r="C367" s="27" t="n"/>
      <c r="D367" s="28" t="n"/>
      <c r="E367" s="28" t="n"/>
      <c r="F367" s="29" t="n"/>
      <c r="G367" s="30" t="n"/>
      <c r="H367" s="20">
        <f>IF(A367="","",TRIM(IF(WEEKDAY(A367,2)&gt;5,"Fin de semana. ","")&amp;IF(SUMIFS($G$2:$G$601,$A$2:$A$601,A367,$D$2:$D$601,D367)&gt;9,"Más de 9 h en el día. ","")&amp;IF(AND(B367&lt;&gt;"",C367&lt;&gt;"",C367&lt;B367),"Cruza la medianoche. ","")&amp;IF(LEN(TRIM(F367))&lt;15,"Sin descripción suficiente. ","")&amp;IF(AND(ISERROR(SEARCH("R-0",F367)),ISERROR(SEARCH("CU-",F367))),"Sin ticket. ","")&amp;IF(ISNA(MATCH(E367,Datos!$E$8:$E$22,0)),"Proyecto sin valor hora. ","")&amp;IF(ISNA(MATCH(D367,Datos!$A$8:$A$22,0)),"Persona fuera del equipo. ","")))</f>
        <v/>
      </c>
      <c r="I367" s="21" t="n"/>
      <c r="J367" s="22" t="n"/>
      <c r="K367" s="23">
        <f>IF(G367="","",IF(J367&lt;&gt;"",MIN(J367,G367),IF(OR(I367="Observada",I367="Rechazada"),0,G367)))</f>
        <v/>
      </c>
      <c r="L367" s="24" t="n"/>
      <c r="M367" s="25">
        <f>IF(OR(A367="",D367=""),0,IF(COUNTIFS($A$2:A367,A367,$D$2:D367,D367)=1,1,0))</f>
        <v/>
      </c>
    </row>
    <row r="368">
      <c r="A368" s="26" t="n"/>
      <c r="B368" s="27" t="n"/>
      <c r="C368" s="27" t="n"/>
      <c r="D368" s="28" t="n"/>
      <c r="E368" s="28" t="n"/>
      <c r="F368" s="29" t="n"/>
      <c r="G368" s="30" t="n"/>
      <c r="H368" s="20">
        <f>IF(A368="","",TRIM(IF(WEEKDAY(A368,2)&gt;5,"Fin de semana. ","")&amp;IF(SUMIFS($G$2:$G$601,$A$2:$A$601,A368,$D$2:$D$601,D368)&gt;9,"Más de 9 h en el día. ","")&amp;IF(AND(B368&lt;&gt;"",C368&lt;&gt;"",C368&lt;B368),"Cruza la medianoche. ","")&amp;IF(LEN(TRIM(F368))&lt;15,"Sin descripción suficiente. ","")&amp;IF(AND(ISERROR(SEARCH("R-0",F368)),ISERROR(SEARCH("CU-",F368))),"Sin ticket. ","")&amp;IF(ISNA(MATCH(E368,Datos!$E$8:$E$22,0)),"Proyecto sin valor hora. ","")&amp;IF(ISNA(MATCH(D368,Datos!$A$8:$A$22,0)),"Persona fuera del equipo. ","")))</f>
        <v/>
      </c>
      <c r="I368" s="21" t="n"/>
      <c r="J368" s="22" t="n"/>
      <c r="K368" s="23">
        <f>IF(G368="","",IF(J368&lt;&gt;"",MIN(J368,G368),IF(OR(I368="Observada",I368="Rechazada"),0,G368)))</f>
        <v/>
      </c>
      <c r="L368" s="24" t="n"/>
      <c r="M368" s="25">
        <f>IF(OR(A368="",D368=""),0,IF(COUNTIFS($A$2:A368,A368,$D$2:D368,D368)=1,1,0))</f>
        <v/>
      </c>
    </row>
    <row r="369">
      <c r="A369" s="26" t="n"/>
      <c r="B369" s="27" t="n"/>
      <c r="C369" s="27" t="n"/>
      <c r="D369" s="28" t="n"/>
      <c r="E369" s="28" t="n"/>
      <c r="F369" s="29" t="n"/>
      <c r="G369" s="30" t="n"/>
      <c r="H369" s="20">
        <f>IF(A369="","",TRIM(IF(WEEKDAY(A369,2)&gt;5,"Fin de semana. ","")&amp;IF(SUMIFS($G$2:$G$601,$A$2:$A$601,A369,$D$2:$D$601,D369)&gt;9,"Más de 9 h en el día. ","")&amp;IF(AND(B369&lt;&gt;"",C369&lt;&gt;"",C369&lt;B369),"Cruza la medianoche. ","")&amp;IF(LEN(TRIM(F369))&lt;15,"Sin descripción suficiente. ","")&amp;IF(AND(ISERROR(SEARCH("R-0",F369)),ISERROR(SEARCH("CU-",F369))),"Sin ticket. ","")&amp;IF(ISNA(MATCH(E369,Datos!$E$8:$E$22,0)),"Proyecto sin valor hora. ","")&amp;IF(ISNA(MATCH(D369,Datos!$A$8:$A$22,0)),"Persona fuera del equipo. ","")))</f>
        <v/>
      </c>
      <c r="I369" s="21" t="n"/>
      <c r="J369" s="22" t="n"/>
      <c r="K369" s="23">
        <f>IF(G369="","",IF(J369&lt;&gt;"",MIN(J369,G369),IF(OR(I369="Observada",I369="Rechazada"),0,G369)))</f>
        <v/>
      </c>
      <c r="L369" s="24" t="n"/>
      <c r="M369" s="25">
        <f>IF(OR(A369="",D369=""),0,IF(COUNTIFS($A$2:A369,A369,$D$2:D369,D369)=1,1,0))</f>
        <v/>
      </c>
    </row>
    <row r="370">
      <c r="A370" s="26" t="n"/>
      <c r="B370" s="27" t="n"/>
      <c r="C370" s="27" t="n"/>
      <c r="D370" s="28" t="n"/>
      <c r="E370" s="28" t="n"/>
      <c r="F370" s="29" t="n"/>
      <c r="G370" s="30" t="n"/>
      <c r="H370" s="20">
        <f>IF(A370="","",TRIM(IF(WEEKDAY(A370,2)&gt;5,"Fin de semana. ","")&amp;IF(SUMIFS($G$2:$G$601,$A$2:$A$601,A370,$D$2:$D$601,D370)&gt;9,"Más de 9 h en el día. ","")&amp;IF(AND(B370&lt;&gt;"",C370&lt;&gt;"",C370&lt;B370),"Cruza la medianoche. ","")&amp;IF(LEN(TRIM(F370))&lt;15,"Sin descripción suficiente. ","")&amp;IF(AND(ISERROR(SEARCH("R-0",F370)),ISERROR(SEARCH("CU-",F370))),"Sin ticket. ","")&amp;IF(ISNA(MATCH(E370,Datos!$E$8:$E$22,0)),"Proyecto sin valor hora. ","")&amp;IF(ISNA(MATCH(D370,Datos!$A$8:$A$22,0)),"Persona fuera del equipo. ","")))</f>
        <v/>
      </c>
      <c r="I370" s="21" t="n"/>
      <c r="J370" s="22" t="n"/>
      <c r="K370" s="23">
        <f>IF(G370="","",IF(J370&lt;&gt;"",MIN(J370,G370),IF(OR(I370="Observada",I370="Rechazada"),0,G370)))</f>
        <v/>
      </c>
      <c r="L370" s="24" t="n"/>
      <c r="M370" s="25">
        <f>IF(OR(A370="",D370=""),0,IF(COUNTIFS($A$2:A370,A370,$D$2:D370,D370)=1,1,0))</f>
        <v/>
      </c>
    </row>
    <row r="371">
      <c r="A371" s="26" t="n"/>
      <c r="B371" s="27" t="n"/>
      <c r="C371" s="27" t="n"/>
      <c r="D371" s="28" t="n"/>
      <c r="E371" s="28" t="n"/>
      <c r="F371" s="29" t="n"/>
      <c r="G371" s="30" t="n"/>
      <c r="H371" s="20">
        <f>IF(A371="","",TRIM(IF(WEEKDAY(A371,2)&gt;5,"Fin de semana. ","")&amp;IF(SUMIFS($G$2:$G$601,$A$2:$A$601,A371,$D$2:$D$601,D371)&gt;9,"Más de 9 h en el día. ","")&amp;IF(AND(B371&lt;&gt;"",C371&lt;&gt;"",C371&lt;B371),"Cruza la medianoche. ","")&amp;IF(LEN(TRIM(F371))&lt;15,"Sin descripción suficiente. ","")&amp;IF(AND(ISERROR(SEARCH("R-0",F371)),ISERROR(SEARCH("CU-",F371))),"Sin ticket. ","")&amp;IF(ISNA(MATCH(E371,Datos!$E$8:$E$22,0)),"Proyecto sin valor hora. ","")&amp;IF(ISNA(MATCH(D371,Datos!$A$8:$A$22,0)),"Persona fuera del equipo. ","")))</f>
        <v/>
      </c>
      <c r="I371" s="21" t="n"/>
      <c r="J371" s="22" t="n"/>
      <c r="K371" s="23">
        <f>IF(G371="","",IF(J371&lt;&gt;"",MIN(J371,G371),IF(OR(I371="Observada",I371="Rechazada"),0,G371)))</f>
        <v/>
      </c>
      <c r="L371" s="24" t="n"/>
      <c r="M371" s="25">
        <f>IF(OR(A371="",D371=""),0,IF(COUNTIFS($A$2:A371,A371,$D$2:D371,D371)=1,1,0))</f>
        <v/>
      </c>
    </row>
    <row r="372">
      <c r="A372" s="26" t="n"/>
      <c r="B372" s="27" t="n"/>
      <c r="C372" s="27" t="n"/>
      <c r="D372" s="28" t="n"/>
      <c r="E372" s="28" t="n"/>
      <c r="F372" s="29" t="n"/>
      <c r="G372" s="30" t="n"/>
      <c r="H372" s="20">
        <f>IF(A372="","",TRIM(IF(WEEKDAY(A372,2)&gt;5,"Fin de semana. ","")&amp;IF(SUMIFS($G$2:$G$601,$A$2:$A$601,A372,$D$2:$D$601,D372)&gt;9,"Más de 9 h en el día. ","")&amp;IF(AND(B372&lt;&gt;"",C372&lt;&gt;"",C372&lt;B372),"Cruza la medianoche. ","")&amp;IF(LEN(TRIM(F372))&lt;15,"Sin descripción suficiente. ","")&amp;IF(AND(ISERROR(SEARCH("R-0",F372)),ISERROR(SEARCH("CU-",F372))),"Sin ticket. ","")&amp;IF(ISNA(MATCH(E372,Datos!$E$8:$E$22,0)),"Proyecto sin valor hora. ","")&amp;IF(ISNA(MATCH(D372,Datos!$A$8:$A$22,0)),"Persona fuera del equipo. ","")))</f>
        <v/>
      </c>
      <c r="I372" s="21" t="n"/>
      <c r="J372" s="22" t="n"/>
      <c r="K372" s="23">
        <f>IF(G372="","",IF(J372&lt;&gt;"",MIN(J372,G372),IF(OR(I372="Observada",I372="Rechazada"),0,G372)))</f>
        <v/>
      </c>
      <c r="L372" s="24" t="n"/>
      <c r="M372" s="25">
        <f>IF(OR(A372="",D372=""),0,IF(COUNTIFS($A$2:A372,A372,$D$2:D372,D372)=1,1,0))</f>
        <v/>
      </c>
    </row>
    <row r="373">
      <c r="A373" s="26" t="n"/>
      <c r="B373" s="27" t="n"/>
      <c r="C373" s="27" t="n"/>
      <c r="D373" s="28" t="n"/>
      <c r="E373" s="28" t="n"/>
      <c r="F373" s="29" t="n"/>
      <c r="G373" s="30" t="n"/>
      <c r="H373" s="20">
        <f>IF(A373="","",TRIM(IF(WEEKDAY(A373,2)&gt;5,"Fin de semana. ","")&amp;IF(SUMIFS($G$2:$G$601,$A$2:$A$601,A373,$D$2:$D$601,D373)&gt;9,"Más de 9 h en el día. ","")&amp;IF(AND(B373&lt;&gt;"",C373&lt;&gt;"",C373&lt;B373),"Cruza la medianoche. ","")&amp;IF(LEN(TRIM(F373))&lt;15,"Sin descripción suficiente. ","")&amp;IF(AND(ISERROR(SEARCH("R-0",F373)),ISERROR(SEARCH("CU-",F373))),"Sin ticket. ","")&amp;IF(ISNA(MATCH(E373,Datos!$E$8:$E$22,0)),"Proyecto sin valor hora. ","")&amp;IF(ISNA(MATCH(D373,Datos!$A$8:$A$22,0)),"Persona fuera del equipo. ","")))</f>
        <v/>
      </c>
      <c r="I373" s="21" t="n"/>
      <c r="J373" s="22" t="n"/>
      <c r="K373" s="23">
        <f>IF(G373="","",IF(J373&lt;&gt;"",MIN(J373,G373),IF(OR(I373="Observada",I373="Rechazada"),0,G373)))</f>
        <v/>
      </c>
      <c r="L373" s="24" t="n"/>
      <c r="M373" s="25">
        <f>IF(OR(A373="",D373=""),0,IF(COUNTIFS($A$2:A373,A373,$D$2:D373,D373)=1,1,0))</f>
        <v/>
      </c>
    </row>
    <row r="374">
      <c r="A374" s="26" t="n"/>
      <c r="B374" s="27" t="n"/>
      <c r="C374" s="27" t="n"/>
      <c r="D374" s="28" t="n"/>
      <c r="E374" s="28" t="n"/>
      <c r="F374" s="29" t="n"/>
      <c r="G374" s="30" t="n"/>
      <c r="H374" s="20">
        <f>IF(A374="","",TRIM(IF(WEEKDAY(A374,2)&gt;5,"Fin de semana. ","")&amp;IF(SUMIFS($G$2:$G$601,$A$2:$A$601,A374,$D$2:$D$601,D374)&gt;9,"Más de 9 h en el día. ","")&amp;IF(AND(B374&lt;&gt;"",C374&lt;&gt;"",C374&lt;B374),"Cruza la medianoche. ","")&amp;IF(LEN(TRIM(F374))&lt;15,"Sin descripción suficiente. ","")&amp;IF(AND(ISERROR(SEARCH("R-0",F374)),ISERROR(SEARCH("CU-",F374))),"Sin ticket. ","")&amp;IF(ISNA(MATCH(E374,Datos!$E$8:$E$22,0)),"Proyecto sin valor hora. ","")&amp;IF(ISNA(MATCH(D374,Datos!$A$8:$A$22,0)),"Persona fuera del equipo. ","")))</f>
        <v/>
      </c>
      <c r="I374" s="21" t="n"/>
      <c r="J374" s="22" t="n"/>
      <c r="K374" s="23">
        <f>IF(G374="","",IF(J374&lt;&gt;"",MIN(J374,G374),IF(OR(I374="Observada",I374="Rechazada"),0,G374)))</f>
        <v/>
      </c>
      <c r="L374" s="24" t="n"/>
      <c r="M374" s="25">
        <f>IF(OR(A374="",D374=""),0,IF(COUNTIFS($A$2:A374,A374,$D$2:D374,D374)=1,1,0))</f>
        <v/>
      </c>
    </row>
    <row r="375">
      <c r="A375" s="26" t="n"/>
      <c r="B375" s="27" t="n"/>
      <c r="C375" s="27" t="n"/>
      <c r="D375" s="28" t="n"/>
      <c r="E375" s="28" t="n"/>
      <c r="F375" s="29" t="n"/>
      <c r="G375" s="30" t="n"/>
      <c r="H375" s="20">
        <f>IF(A375="","",TRIM(IF(WEEKDAY(A375,2)&gt;5,"Fin de semana. ","")&amp;IF(SUMIFS($G$2:$G$601,$A$2:$A$601,A375,$D$2:$D$601,D375)&gt;9,"Más de 9 h en el día. ","")&amp;IF(AND(B375&lt;&gt;"",C375&lt;&gt;"",C375&lt;B375),"Cruza la medianoche. ","")&amp;IF(LEN(TRIM(F375))&lt;15,"Sin descripción suficiente. ","")&amp;IF(AND(ISERROR(SEARCH("R-0",F375)),ISERROR(SEARCH("CU-",F375))),"Sin ticket. ","")&amp;IF(ISNA(MATCH(E375,Datos!$E$8:$E$22,0)),"Proyecto sin valor hora. ","")&amp;IF(ISNA(MATCH(D375,Datos!$A$8:$A$22,0)),"Persona fuera del equipo. ","")))</f>
        <v/>
      </c>
      <c r="I375" s="21" t="n"/>
      <c r="J375" s="22" t="n"/>
      <c r="K375" s="23">
        <f>IF(G375="","",IF(J375&lt;&gt;"",MIN(J375,G375),IF(OR(I375="Observada",I375="Rechazada"),0,G375)))</f>
        <v/>
      </c>
      <c r="L375" s="24" t="n"/>
      <c r="M375" s="25">
        <f>IF(OR(A375="",D375=""),0,IF(COUNTIFS($A$2:A375,A375,$D$2:D375,D375)=1,1,0))</f>
        <v/>
      </c>
    </row>
    <row r="376">
      <c r="A376" s="26" t="n"/>
      <c r="B376" s="27" t="n"/>
      <c r="C376" s="27" t="n"/>
      <c r="D376" s="28" t="n"/>
      <c r="E376" s="28" t="n"/>
      <c r="F376" s="29" t="n"/>
      <c r="G376" s="30" t="n"/>
      <c r="H376" s="20">
        <f>IF(A376="","",TRIM(IF(WEEKDAY(A376,2)&gt;5,"Fin de semana. ","")&amp;IF(SUMIFS($G$2:$G$601,$A$2:$A$601,A376,$D$2:$D$601,D376)&gt;9,"Más de 9 h en el día. ","")&amp;IF(AND(B376&lt;&gt;"",C376&lt;&gt;"",C376&lt;B376),"Cruza la medianoche. ","")&amp;IF(LEN(TRIM(F376))&lt;15,"Sin descripción suficiente. ","")&amp;IF(AND(ISERROR(SEARCH("R-0",F376)),ISERROR(SEARCH("CU-",F376))),"Sin ticket. ","")&amp;IF(ISNA(MATCH(E376,Datos!$E$8:$E$22,0)),"Proyecto sin valor hora. ","")&amp;IF(ISNA(MATCH(D376,Datos!$A$8:$A$22,0)),"Persona fuera del equipo. ","")))</f>
        <v/>
      </c>
      <c r="I376" s="21" t="n"/>
      <c r="J376" s="22" t="n"/>
      <c r="K376" s="23">
        <f>IF(G376="","",IF(J376&lt;&gt;"",MIN(J376,G376),IF(OR(I376="Observada",I376="Rechazada"),0,G376)))</f>
        <v/>
      </c>
      <c r="L376" s="24" t="n"/>
      <c r="M376" s="25">
        <f>IF(OR(A376="",D376=""),0,IF(COUNTIFS($A$2:A376,A376,$D$2:D376,D376)=1,1,0))</f>
        <v/>
      </c>
    </row>
    <row r="377">
      <c r="A377" s="26" t="n"/>
      <c r="B377" s="27" t="n"/>
      <c r="C377" s="27" t="n"/>
      <c r="D377" s="28" t="n"/>
      <c r="E377" s="28" t="n"/>
      <c r="F377" s="29" t="n"/>
      <c r="G377" s="30" t="n"/>
      <c r="H377" s="20">
        <f>IF(A377="","",TRIM(IF(WEEKDAY(A377,2)&gt;5,"Fin de semana. ","")&amp;IF(SUMIFS($G$2:$G$601,$A$2:$A$601,A377,$D$2:$D$601,D377)&gt;9,"Más de 9 h en el día. ","")&amp;IF(AND(B377&lt;&gt;"",C377&lt;&gt;"",C377&lt;B377),"Cruza la medianoche. ","")&amp;IF(LEN(TRIM(F377))&lt;15,"Sin descripción suficiente. ","")&amp;IF(AND(ISERROR(SEARCH("R-0",F377)),ISERROR(SEARCH("CU-",F377))),"Sin ticket. ","")&amp;IF(ISNA(MATCH(E377,Datos!$E$8:$E$22,0)),"Proyecto sin valor hora. ","")&amp;IF(ISNA(MATCH(D377,Datos!$A$8:$A$22,0)),"Persona fuera del equipo. ","")))</f>
        <v/>
      </c>
      <c r="I377" s="21" t="n"/>
      <c r="J377" s="22" t="n"/>
      <c r="K377" s="23">
        <f>IF(G377="","",IF(J377&lt;&gt;"",MIN(J377,G377),IF(OR(I377="Observada",I377="Rechazada"),0,G377)))</f>
        <v/>
      </c>
      <c r="L377" s="24" t="n"/>
      <c r="M377" s="25">
        <f>IF(OR(A377="",D377=""),0,IF(COUNTIFS($A$2:A377,A377,$D$2:D377,D377)=1,1,0))</f>
        <v/>
      </c>
    </row>
    <row r="378">
      <c r="A378" s="26" t="n"/>
      <c r="B378" s="27" t="n"/>
      <c r="C378" s="27" t="n"/>
      <c r="D378" s="28" t="n"/>
      <c r="E378" s="28" t="n"/>
      <c r="F378" s="29" t="n"/>
      <c r="G378" s="30" t="n"/>
      <c r="H378" s="20">
        <f>IF(A378="","",TRIM(IF(WEEKDAY(A378,2)&gt;5,"Fin de semana. ","")&amp;IF(SUMIFS($G$2:$G$601,$A$2:$A$601,A378,$D$2:$D$601,D378)&gt;9,"Más de 9 h en el día. ","")&amp;IF(AND(B378&lt;&gt;"",C378&lt;&gt;"",C378&lt;B378),"Cruza la medianoche. ","")&amp;IF(LEN(TRIM(F378))&lt;15,"Sin descripción suficiente. ","")&amp;IF(AND(ISERROR(SEARCH("R-0",F378)),ISERROR(SEARCH("CU-",F378))),"Sin ticket. ","")&amp;IF(ISNA(MATCH(E378,Datos!$E$8:$E$22,0)),"Proyecto sin valor hora. ","")&amp;IF(ISNA(MATCH(D378,Datos!$A$8:$A$22,0)),"Persona fuera del equipo. ","")))</f>
        <v/>
      </c>
      <c r="I378" s="21" t="n"/>
      <c r="J378" s="22" t="n"/>
      <c r="K378" s="23">
        <f>IF(G378="","",IF(J378&lt;&gt;"",MIN(J378,G378),IF(OR(I378="Observada",I378="Rechazada"),0,G378)))</f>
        <v/>
      </c>
      <c r="L378" s="24" t="n"/>
      <c r="M378" s="25">
        <f>IF(OR(A378="",D378=""),0,IF(COUNTIFS($A$2:A378,A378,$D$2:D378,D378)=1,1,0))</f>
        <v/>
      </c>
    </row>
    <row r="379">
      <c r="A379" s="26" t="n"/>
      <c r="B379" s="27" t="n"/>
      <c r="C379" s="27" t="n"/>
      <c r="D379" s="28" t="n"/>
      <c r="E379" s="28" t="n"/>
      <c r="F379" s="29" t="n"/>
      <c r="G379" s="30" t="n"/>
      <c r="H379" s="20">
        <f>IF(A379="","",TRIM(IF(WEEKDAY(A379,2)&gt;5,"Fin de semana. ","")&amp;IF(SUMIFS($G$2:$G$601,$A$2:$A$601,A379,$D$2:$D$601,D379)&gt;9,"Más de 9 h en el día. ","")&amp;IF(AND(B379&lt;&gt;"",C379&lt;&gt;"",C379&lt;B379),"Cruza la medianoche. ","")&amp;IF(LEN(TRIM(F379))&lt;15,"Sin descripción suficiente. ","")&amp;IF(AND(ISERROR(SEARCH("R-0",F379)),ISERROR(SEARCH("CU-",F379))),"Sin ticket. ","")&amp;IF(ISNA(MATCH(E379,Datos!$E$8:$E$22,0)),"Proyecto sin valor hora. ","")&amp;IF(ISNA(MATCH(D379,Datos!$A$8:$A$22,0)),"Persona fuera del equipo. ","")))</f>
        <v/>
      </c>
      <c r="I379" s="21" t="n"/>
      <c r="J379" s="22" t="n"/>
      <c r="K379" s="23">
        <f>IF(G379="","",IF(J379&lt;&gt;"",MIN(J379,G379),IF(OR(I379="Observada",I379="Rechazada"),0,G379)))</f>
        <v/>
      </c>
      <c r="L379" s="24" t="n"/>
      <c r="M379" s="25">
        <f>IF(OR(A379="",D379=""),0,IF(COUNTIFS($A$2:A379,A379,$D$2:D379,D379)=1,1,0))</f>
        <v/>
      </c>
    </row>
    <row r="380">
      <c r="A380" s="26" t="n"/>
      <c r="B380" s="27" t="n"/>
      <c r="C380" s="27" t="n"/>
      <c r="D380" s="28" t="n"/>
      <c r="E380" s="28" t="n"/>
      <c r="F380" s="29" t="n"/>
      <c r="G380" s="30" t="n"/>
      <c r="H380" s="20">
        <f>IF(A380="","",TRIM(IF(WEEKDAY(A380,2)&gt;5,"Fin de semana. ","")&amp;IF(SUMIFS($G$2:$G$601,$A$2:$A$601,A380,$D$2:$D$601,D380)&gt;9,"Más de 9 h en el día. ","")&amp;IF(AND(B380&lt;&gt;"",C380&lt;&gt;"",C380&lt;B380),"Cruza la medianoche. ","")&amp;IF(LEN(TRIM(F380))&lt;15,"Sin descripción suficiente. ","")&amp;IF(AND(ISERROR(SEARCH("R-0",F380)),ISERROR(SEARCH("CU-",F380))),"Sin ticket. ","")&amp;IF(ISNA(MATCH(E380,Datos!$E$8:$E$22,0)),"Proyecto sin valor hora. ","")&amp;IF(ISNA(MATCH(D380,Datos!$A$8:$A$22,0)),"Persona fuera del equipo. ","")))</f>
        <v/>
      </c>
      <c r="I380" s="21" t="n"/>
      <c r="J380" s="22" t="n"/>
      <c r="K380" s="23">
        <f>IF(G380="","",IF(J380&lt;&gt;"",MIN(J380,G380),IF(OR(I380="Observada",I380="Rechazada"),0,G380)))</f>
        <v/>
      </c>
      <c r="L380" s="24" t="n"/>
      <c r="M380" s="25">
        <f>IF(OR(A380="",D380=""),0,IF(COUNTIFS($A$2:A380,A380,$D$2:D380,D380)=1,1,0))</f>
        <v/>
      </c>
    </row>
    <row r="381">
      <c r="A381" s="26" t="n"/>
      <c r="B381" s="27" t="n"/>
      <c r="C381" s="27" t="n"/>
      <c r="D381" s="28" t="n"/>
      <c r="E381" s="28" t="n"/>
      <c r="F381" s="29" t="n"/>
      <c r="G381" s="30" t="n"/>
      <c r="H381" s="20">
        <f>IF(A381="","",TRIM(IF(WEEKDAY(A381,2)&gt;5,"Fin de semana. ","")&amp;IF(SUMIFS($G$2:$G$601,$A$2:$A$601,A381,$D$2:$D$601,D381)&gt;9,"Más de 9 h en el día. ","")&amp;IF(AND(B381&lt;&gt;"",C381&lt;&gt;"",C381&lt;B381),"Cruza la medianoche. ","")&amp;IF(LEN(TRIM(F381))&lt;15,"Sin descripción suficiente. ","")&amp;IF(AND(ISERROR(SEARCH("R-0",F381)),ISERROR(SEARCH("CU-",F381))),"Sin ticket. ","")&amp;IF(ISNA(MATCH(E381,Datos!$E$8:$E$22,0)),"Proyecto sin valor hora. ","")&amp;IF(ISNA(MATCH(D381,Datos!$A$8:$A$22,0)),"Persona fuera del equipo. ","")))</f>
        <v/>
      </c>
      <c r="I381" s="21" t="n"/>
      <c r="J381" s="22" t="n"/>
      <c r="K381" s="23">
        <f>IF(G381="","",IF(J381&lt;&gt;"",MIN(J381,G381),IF(OR(I381="Observada",I381="Rechazada"),0,G381)))</f>
        <v/>
      </c>
      <c r="L381" s="24" t="n"/>
      <c r="M381" s="25">
        <f>IF(OR(A381="",D381=""),0,IF(COUNTIFS($A$2:A381,A381,$D$2:D381,D381)=1,1,0))</f>
        <v/>
      </c>
    </row>
    <row r="382">
      <c r="A382" s="26" t="n"/>
      <c r="B382" s="27" t="n"/>
      <c r="C382" s="27" t="n"/>
      <c r="D382" s="28" t="n"/>
      <c r="E382" s="28" t="n"/>
      <c r="F382" s="29" t="n"/>
      <c r="G382" s="30" t="n"/>
      <c r="H382" s="20">
        <f>IF(A382="","",TRIM(IF(WEEKDAY(A382,2)&gt;5,"Fin de semana. ","")&amp;IF(SUMIFS($G$2:$G$601,$A$2:$A$601,A382,$D$2:$D$601,D382)&gt;9,"Más de 9 h en el día. ","")&amp;IF(AND(B382&lt;&gt;"",C382&lt;&gt;"",C382&lt;B382),"Cruza la medianoche. ","")&amp;IF(LEN(TRIM(F382))&lt;15,"Sin descripción suficiente. ","")&amp;IF(AND(ISERROR(SEARCH("R-0",F382)),ISERROR(SEARCH("CU-",F382))),"Sin ticket. ","")&amp;IF(ISNA(MATCH(E382,Datos!$E$8:$E$22,0)),"Proyecto sin valor hora. ","")&amp;IF(ISNA(MATCH(D382,Datos!$A$8:$A$22,0)),"Persona fuera del equipo. ","")))</f>
        <v/>
      </c>
      <c r="I382" s="21" t="n"/>
      <c r="J382" s="22" t="n"/>
      <c r="K382" s="23">
        <f>IF(G382="","",IF(J382&lt;&gt;"",MIN(J382,G382),IF(OR(I382="Observada",I382="Rechazada"),0,G382)))</f>
        <v/>
      </c>
      <c r="L382" s="24" t="n"/>
      <c r="M382" s="25">
        <f>IF(OR(A382="",D382=""),0,IF(COUNTIFS($A$2:A382,A382,$D$2:D382,D382)=1,1,0))</f>
        <v/>
      </c>
    </row>
    <row r="383">
      <c r="A383" s="26" t="n"/>
      <c r="B383" s="27" t="n"/>
      <c r="C383" s="27" t="n"/>
      <c r="D383" s="28" t="n"/>
      <c r="E383" s="28" t="n"/>
      <c r="F383" s="29" t="n"/>
      <c r="G383" s="30" t="n"/>
      <c r="H383" s="20">
        <f>IF(A383="","",TRIM(IF(WEEKDAY(A383,2)&gt;5,"Fin de semana. ","")&amp;IF(SUMIFS($G$2:$G$601,$A$2:$A$601,A383,$D$2:$D$601,D383)&gt;9,"Más de 9 h en el día. ","")&amp;IF(AND(B383&lt;&gt;"",C383&lt;&gt;"",C383&lt;B383),"Cruza la medianoche. ","")&amp;IF(LEN(TRIM(F383))&lt;15,"Sin descripción suficiente. ","")&amp;IF(AND(ISERROR(SEARCH("R-0",F383)),ISERROR(SEARCH("CU-",F383))),"Sin ticket. ","")&amp;IF(ISNA(MATCH(E383,Datos!$E$8:$E$22,0)),"Proyecto sin valor hora. ","")&amp;IF(ISNA(MATCH(D383,Datos!$A$8:$A$22,0)),"Persona fuera del equipo. ","")))</f>
        <v/>
      </c>
      <c r="I383" s="21" t="n"/>
      <c r="J383" s="22" t="n"/>
      <c r="K383" s="23">
        <f>IF(G383="","",IF(J383&lt;&gt;"",MIN(J383,G383),IF(OR(I383="Observada",I383="Rechazada"),0,G383)))</f>
        <v/>
      </c>
      <c r="L383" s="24" t="n"/>
      <c r="M383" s="25">
        <f>IF(OR(A383="",D383=""),0,IF(COUNTIFS($A$2:A383,A383,$D$2:D383,D383)=1,1,0))</f>
        <v/>
      </c>
    </row>
    <row r="384">
      <c r="A384" s="26" t="n"/>
      <c r="B384" s="27" t="n"/>
      <c r="C384" s="27" t="n"/>
      <c r="D384" s="28" t="n"/>
      <c r="E384" s="28" t="n"/>
      <c r="F384" s="29" t="n"/>
      <c r="G384" s="30" t="n"/>
      <c r="H384" s="20">
        <f>IF(A384="","",TRIM(IF(WEEKDAY(A384,2)&gt;5,"Fin de semana. ","")&amp;IF(SUMIFS($G$2:$G$601,$A$2:$A$601,A384,$D$2:$D$601,D384)&gt;9,"Más de 9 h en el día. ","")&amp;IF(AND(B384&lt;&gt;"",C384&lt;&gt;"",C384&lt;B384),"Cruza la medianoche. ","")&amp;IF(LEN(TRIM(F384))&lt;15,"Sin descripción suficiente. ","")&amp;IF(AND(ISERROR(SEARCH("R-0",F384)),ISERROR(SEARCH("CU-",F384))),"Sin ticket. ","")&amp;IF(ISNA(MATCH(E384,Datos!$E$8:$E$22,0)),"Proyecto sin valor hora. ","")&amp;IF(ISNA(MATCH(D384,Datos!$A$8:$A$22,0)),"Persona fuera del equipo. ","")))</f>
        <v/>
      </c>
      <c r="I384" s="21" t="n"/>
      <c r="J384" s="22" t="n"/>
      <c r="K384" s="23">
        <f>IF(G384="","",IF(J384&lt;&gt;"",MIN(J384,G384),IF(OR(I384="Observada",I384="Rechazada"),0,G384)))</f>
        <v/>
      </c>
      <c r="L384" s="24" t="n"/>
      <c r="M384" s="25">
        <f>IF(OR(A384="",D384=""),0,IF(COUNTIFS($A$2:A384,A384,$D$2:D384,D384)=1,1,0))</f>
        <v/>
      </c>
    </row>
    <row r="385">
      <c r="A385" s="26" t="n"/>
      <c r="B385" s="27" t="n"/>
      <c r="C385" s="27" t="n"/>
      <c r="D385" s="28" t="n"/>
      <c r="E385" s="28" t="n"/>
      <c r="F385" s="29" t="n"/>
      <c r="G385" s="30" t="n"/>
      <c r="H385" s="20">
        <f>IF(A385="","",TRIM(IF(WEEKDAY(A385,2)&gt;5,"Fin de semana. ","")&amp;IF(SUMIFS($G$2:$G$601,$A$2:$A$601,A385,$D$2:$D$601,D385)&gt;9,"Más de 9 h en el día. ","")&amp;IF(AND(B385&lt;&gt;"",C385&lt;&gt;"",C385&lt;B385),"Cruza la medianoche. ","")&amp;IF(LEN(TRIM(F385))&lt;15,"Sin descripción suficiente. ","")&amp;IF(AND(ISERROR(SEARCH("R-0",F385)),ISERROR(SEARCH("CU-",F385))),"Sin ticket. ","")&amp;IF(ISNA(MATCH(E385,Datos!$E$8:$E$22,0)),"Proyecto sin valor hora. ","")&amp;IF(ISNA(MATCH(D385,Datos!$A$8:$A$22,0)),"Persona fuera del equipo. ","")))</f>
        <v/>
      </c>
      <c r="I385" s="21" t="n"/>
      <c r="J385" s="22" t="n"/>
      <c r="K385" s="23">
        <f>IF(G385="","",IF(J385&lt;&gt;"",MIN(J385,G385),IF(OR(I385="Observada",I385="Rechazada"),0,G385)))</f>
        <v/>
      </c>
      <c r="L385" s="24" t="n"/>
      <c r="M385" s="25">
        <f>IF(OR(A385="",D385=""),0,IF(COUNTIFS($A$2:A385,A385,$D$2:D385,D385)=1,1,0))</f>
        <v/>
      </c>
    </row>
    <row r="386">
      <c r="A386" s="26" t="n"/>
      <c r="B386" s="27" t="n"/>
      <c r="C386" s="27" t="n"/>
      <c r="D386" s="28" t="n"/>
      <c r="E386" s="28" t="n"/>
      <c r="F386" s="29" t="n"/>
      <c r="G386" s="30" t="n"/>
      <c r="H386" s="20">
        <f>IF(A386="","",TRIM(IF(WEEKDAY(A386,2)&gt;5,"Fin de semana. ","")&amp;IF(SUMIFS($G$2:$G$601,$A$2:$A$601,A386,$D$2:$D$601,D386)&gt;9,"Más de 9 h en el día. ","")&amp;IF(AND(B386&lt;&gt;"",C386&lt;&gt;"",C386&lt;B386),"Cruza la medianoche. ","")&amp;IF(LEN(TRIM(F386))&lt;15,"Sin descripción suficiente. ","")&amp;IF(AND(ISERROR(SEARCH("R-0",F386)),ISERROR(SEARCH("CU-",F386))),"Sin ticket. ","")&amp;IF(ISNA(MATCH(E386,Datos!$E$8:$E$22,0)),"Proyecto sin valor hora. ","")&amp;IF(ISNA(MATCH(D386,Datos!$A$8:$A$22,0)),"Persona fuera del equipo. ","")))</f>
        <v/>
      </c>
      <c r="I386" s="21" t="n"/>
      <c r="J386" s="22" t="n"/>
      <c r="K386" s="23">
        <f>IF(G386="","",IF(J386&lt;&gt;"",MIN(J386,G386),IF(OR(I386="Observada",I386="Rechazada"),0,G386)))</f>
        <v/>
      </c>
      <c r="L386" s="24" t="n"/>
      <c r="M386" s="25">
        <f>IF(OR(A386="",D386=""),0,IF(COUNTIFS($A$2:A386,A386,$D$2:D386,D386)=1,1,0))</f>
        <v/>
      </c>
    </row>
    <row r="387">
      <c r="A387" s="26" t="n"/>
      <c r="B387" s="27" t="n"/>
      <c r="C387" s="27" t="n"/>
      <c r="D387" s="28" t="n"/>
      <c r="E387" s="28" t="n"/>
      <c r="F387" s="29" t="n"/>
      <c r="G387" s="30" t="n"/>
      <c r="H387" s="20">
        <f>IF(A387="","",TRIM(IF(WEEKDAY(A387,2)&gt;5,"Fin de semana. ","")&amp;IF(SUMIFS($G$2:$G$601,$A$2:$A$601,A387,$D$2:$D$601,D387)&gt;9,"Más de 9 h en el día. ","")&amp;IF(AND(B387&lt;&gt;"",C387&lt;&gt;"",C387&lt;B387),"Cruza la medianoche. ","")&amp;IF(LEN(TRIM(F387))&lt;15,"Sin descripción suficiente. ","")&amp;IF(AND(ISERROR(SEARCH("R-0",F387)),ISERROR(SEARCH("CU-",F387))),"Sin ticket. ","")&amp;IF(ISNA(MATCH(E387,Datos!$E$8:$E$22,0)),"Proyecto sin valor hora. ","")&amp;IF(ISNA(MATCH(D387,Datos!$A$8:$A$22,0)),"Persona fuera del equipo. ","")))</f>
        <v/>
      </c>
      <c r="I387" s="21" t="n"/>
      <c r="J387" s="22" t="n"/>
      <c r="K387" s="23">
        <f>IF(G387="","",IF(J387&lt;&gt;"",MIN(J387,G387),IF(OR(I387="Observada",I387="Rechazada"),0,G387)))</f>
        <v/>
      </c>
      <c r="L387" s="24" t="n"/>
      <c r="M387" s="25">
        <f>IF(OR(A387="",D387=""),0,IF(COUNTIFS($A$2:A387,A387,$D$2:D387,D387)=1,1,0))</f>
        <v/>
      </c>
    </row>
    <row r="388">
      <c r="A388" s="26" t="n"/>
      <c r="B388" s="27" t="n"/>
      <c r="C388" s="27" t="n"/>
      <c r="D388" s="28" t="n"/>
      <c r="E388" s="28" t="n"/>
      <c r="F388" s="29" t="n"/>
      <c r="G388" s="30" t="n"/>
      <c r="H388" s="20">
        <f>IF(A388="","",TRIM(IF(WEEKDAY(A388,2)&gt;5,"Fin de semana. ","")&amp;IF(SUMIFS($G$2:$G$601,$A$2:$A$601,A388,$D$2:$D$601,D388)&gt;9,"Más de 9 h en el día. ","")&amp;IF(AND(B388&lt;&gt;"",C388&lt;&gt;"",C388&lt;B388),"Cruza la medianoche. ","")&amp;IF(LEN(TRIM(F388))&lt;15,"Sin descripción suficiente. ","")&amp;IF(AND(ISERROR(SEARCH("R-0",F388)),ISERROR(SEARCH("CU-",F388))),"Sin ticket. ","")&amp;IF(ISNA(MATCH(E388,Datos!$E$8:$E$22,0)),"Proyecto sin valor hora. ","")&amp;IF(ISNA(MATCH(D388,Datos!$A$8:$A$22,0)),"Persona fuera del equipo. ","")))</f>
        <v/>
      </c>
      <c r="I388" s="21" t="n"/>
      <c r="J388" s="22" t="n"/>
      <c r="K388" s="23">
        <f>IF(G388="","",IF(J388&lt;&gt;"",MIN(J388,G388),IF(OR(I388="Observada",I388="Rechazada"),0,G388)))</f>
        <v/>
      </c>
      <c r="L388" s="24" t="n"/>
      <c r="M388" s="25">
        <f>IF(OR(A388="",D388=""),0,IF(COUNTIFS($A$2:A388,A388,$D$2:D388,D388)=1,1,0))</f>
        <v/>
      </c>
    </row>
    <row r="389">
      <c r="A389" s="26" t="n"/>
      <c r="B389" s="27" t="n"/>
      <c r="C389" s="27" t="n"/>
      <c r="D389" s="28" t="n"/>
      <c r="E389" s="28" t="n"/>
      <c r="F389" s="29" t="n"/>
      <c r="G389" s="30" t="n"/>
      <c r="H389" s="20">
        <f>IF(A389="","",TRIM(IF(WEEKDAY(A389,2)&gt;5,"Fin de semana. ","")&amp;IF(SUMIFS($G$2:$G$601,$A$2:$A$601,A389,$D$2:$D$601,D389)&gt;9,"Más de 9 h en el día. ","")&amp;IF(AND(B389&lt;&gt;"",C389&lt;&gt;"",C389&lt;B389),"Cruza la medianoche. ","")&amp;IF(LEN(TRIM(F389))&lt;15,"Sin descripción suficiente. ","")&amp;IF(AND(ISERROR(SEARCH("R-0",F389)),ISERROR(SEARCH("CU-",F389))),"Sin ticket. ","")&amp;IF(ISNA(MATCH(E389,Datos!$E$8:$E$22,0)),"Proyecto sin valor hora. ","")&amp;IF(ISNA(MATCH(D389,Datos!$A$8:$A$22,0)),"Persona fuera del equipo. ","")))</f>
        <v/>
      </c>
      <c r="I389" s="21" t="n"/>
      <c r="J389" s="22" t="n"/>
      <c r="K389" s="23">
        <f>IF(G389="","",IF(J389&lt;&gt;"",MIN(J389,G389),IF(OR(I389="Observada",I389="Rechazada"),0,G389)))</f>
        <v/>
      </c>
      <c r="L389" s="24" t="n"/>
      <c r="M389" s="25">
        <f>IF(OR(A389="",D389=""),0,IF(COUNTIFS($A$2:A389,A389,$D$2:D389,D389)=1,1,0))</f>
        <v/>
      </c>
    </row>
    <row r="390">
      <c r="A390" s="26" t="n"/>
      <c r="B390" s="27" t="n"/>
      <c r="C390" s="27" t="n"/>
      <c r="D390" s="28" t="n"/>
      <c r="E390" s="28" t="n"/>
      <c r="F390" s="29" t="n"/>
      <c r="G390" s="30" t="n"/>
      <c r="H390" s="20">
        <f>IF(A390="","",TRIM(IF(WEEKDAY(A390,2)&gt;5,"Fin de semana. ","")&amp;IF(SUMIFS($G$2:$G$601,$A$2:$A$601,A390,$D$2:$D$601,D390)&gt;9,"Más de 9 h en el día. ","")&amp;IF(AND(B390&lt;&gt;"",C390&lt;&gt;"",C390&lt;B390),"Cruza la medianoche. ","")&amp;IF(LEN(TRIM(F390))&lt;15,"Sin descripción suficiente. ","")&amp;IF(AND(ISERROR(SEARCH("R-0",F390)),ISERROR(SEARCH("CU-",F390))),"Sin ticket. ","")&amp;IF(ISNA(MATCH(E390,Datos!$E$8:$E$22,0)),"Proyecto sin valor hora. ","")&amp;IF(ISNA(MATCH(D390,Datos!$A$8:$A$22,0)),"Persona fuera del equipo. ","")))</f>
        <v/>
      </c>
      <c r="I390" s="21" t="n"/>
      <c r="J390" s="22" t="n"/>
      <c r="K390" s="23">
        <f>IF(G390="","",IF(J390&lt;&gt;"",MIN(J390,G390),IF(OR(I390="Observada",I390="Rechazada"),0,G390)))</f>
        <v/>
      </c>
      <c r="L390" s="24" t="n"/>
      <c r="M390" s="25">
        <f>IF(OR(A390="",D390=""),0,IF(COUNTIFS($A$2:A390,A390,$D$2:D390,D390)=1,1,0))</f>
        <v/>
      </c>
    </row>
    <row r="391">
      <c r="A391" s="26" t="n"/>
      <c r="B391" s="27" t="n"/>
      <c r="C391" s="27" t="n"/>
      <c r="D391" s="28" t="n"/>
      <c r="E391" s="28" t="n"/>
      <c r="F391" s="29" t="n"/>
      <c r="G391" s="30" t="n"/>
      <c r="H391" s="20">
        <f>IF(A391="","",TRIM(IF(WEEKDAY(A391,2)&gt;5,"Fin de semana. ","")&amp;IF(SUMIFS($G$2:$G$601,$A$2:$A$601,A391,$D$2:$D$601,D391)&gt;9,"Más de 9 h en el día. ","")&amp;IF(AND(B391&lt;&gt;"",C391&lt;&gt;"",C391&lt;B391),"Cruza la medianoche. ","")&amp;IF(LEN(TRIM(F391))&lt;15,"Sin descripción suficiente. ","")&amp;IF(AND(ISERROR(SEARCH("R-0",F391)),ISERROR(SEARCH("CU-",F391))),"Sin ticket. ","")&amp;IF(ISNA(MATCH(E391,Datos!$E$8:$E$22,0)),"Proyecto sin valor hora. ","")&amp;IF(ISNA(MATCH(D391,Datos!$A$8:$A$22,0)),"Persona fuera del equipo. ","")))</f>
        <v/>
      </c>
      <c r="I391" s="21" t="n"/>
      <c r="J391" s="22" t="n"/>
      <c r="K391" s="23">
        <f>IF(G391="","",IF(J391&lt;&gt;"",MIN(J391,G391),IF(OR(I391="Observada",I391="Rechazada"),0,G391)))</f>
        <v/>
      </c>
      <c r="L391" s="24" t="n"/>
      <c r="M391" s="25">
        <f>IF(OR(A391="",D391=""),0,IF(COUNTIFS($A$2:A391,A391,$D$2:D391,D391)=1,1,0))</f>
        <v/>
      </c>
    </row>
    <row r="392">
      <c r="A392" s="26" t="n"/>
      <c r="B392" s="27" t="n"/>
      <c r="C392" s="27" t="n"/>
      <c r="D392" s="28" t="n"/>
      <c r="E392" s="28" t="n"/>
      <c r="F392" s="29" t="n"/>
      <c r="G392" s="30" t="n"/>
      <c r="H392" s="20">
        <f>IF(A392="","",TRIM(IF(WEEKDAY(A392,2)&gt;5,"Fin de semana. ","")&amp;IF(SUMIFS($G$2:$G$601,$A$2:$A$601,A392,$D$2:$D$601,D392)&gt;9,"Más de 9 h en el día. ","")&amp;IF(AND(B392&lt;&gt;"",C392&lt;&gt;"",C392&lt;B392),"Cruza la medianoche. ","")&amp;IF(LEN(TRIM(F392))&lt;15,"Sin descripción suficiente. ","")&amp;IF(AND(ISERROR(SEARCH("R-0",F392)),ISERROR(SEARCH("CU-",F392))),"Sin ticket. ","")&amp;IF(ISNA(MATCH(E392,Datos!$E$8:$E$22,0)),"Proyecto sin valor hora. ","")&amp;IF(ISNA(MATCH(D392,Datos!$A$8:$A$22,0)),"Persona fuera del equipo. ","")))</f>
        <v/>
      </c>
      <c r="I392" s="21" t="n"/>
      <c r="J392" s="22" t="n"/>
      <c r="K392" s="23">
        <f>IF(G392="","",IF(J392&lt;&gt;"",MIN(J392,G392),IF(OR(I392="Observada",I392="Rechazada"),0,G392)))</f>
        <v/>
      </c>
      <c r="L392" s="24" t="n"/>
      <c r="M392" s="25">
        <f>IF(OR(A392="",D392=""),0,IF(COUNTIFS($A$2:A392,A392,$D$2:D392,D392)=1,1,0))</f>
        <v/>
      </c>
    </row>
    <row r="393">
      <c r="A393" s="26" t="n"/>
      <c r="B393" s="27" t="n"/>
      <c r="C393" s="27" t="n"/>
      <c r="D393" s="28" t="n"/>
      <c r="E393" s="28" t="n"/>
      <c r="F393" s="29" t="n"/>
      <c r="G393" s="30" t="n"/>
      <c r="H393" s="20">
        <f>IF(A393="","",TRIM(IF(WEEKDAY(A393,2)&gt;5,"Fin de semana. ","")&amp;IF(SUMIFS($G$2:$G$601,$A$2:$A$601,A393,$D$2:$D$601,D393)&gt;9,"Más de 9 h en el día. ","")&amp;IF(AND(B393&lt;&gt;"",C393&lt;&gt;"",C393&lt;B393),"Cruza la medianoche. ","")&amp;IF(LEN(TRIM(F393))&lt;15,"Sin descripción suficiente. ","")&amp;IF(AND(ISERROR(SEARCH("R-0",F393)),ISERROR(SEARCH("CU-",F393))),"Sin ticket. ","")&amp;IF(ISNA(MATCH(E393,Datos!$E$8:$E$22,0)),"Proyecto sin valor hora. ","")&amp;IF(ISNA(MATCH(D393,Datos!$A$8:$A$22,0)),"Persona fuera del equipo. ","")))</f>
        <v/>
      </c>
      <c r="I393" s="21" t="n"/>
      <c r="J393" s="22" t="n"/>
      <c r="K393" s="23">
        <f>IF(G393="","",IF(J393&lt;&gt;"",MIN(J393,G393),IF(OR(I393="Observada",I393="Rechazada"),0,G393)))</f>
        <v/>
      </c>
      <c r="L393" s="24" t="n"/>
      <c r="M393" s="25">
        <f>IF(OR(A393="",D393=""),0,IF(COUNTIFS($A$2:A393,A393,$D$2:D393,D393)=1,1,0))</f>
        <v/>
      </c>
    </row>
    <row r="394">
      <c r="A394" s="26" t="n"/>
      <c r="B394" s="27" t="n"/>
      <c r="C394" s="27" t="n"/>
      <c r="D394" s="28" t="n"/>
      <c r="E394" s="28" t="n"/>
      <c r="F394" s="29" t="n"/>
      <c r="G394" s="30" t="n"/>
      <c r="H394" s="20">
        <f>IF(A394="","",TRIM(IF(WEEKDAY(A394,2)&gt;5,"Fin de semana. ","")&amp;IF(SUMIFS($G$2:$G$601,$A$2:$A$601,A394,$D$2:$D$601,D394)&gt;9,"Más de 9 h en el día. ","")&amp;IF(AND(B394&lt;&gt;"",C394&lt;&gt;"",C394&lt;B394),"Cruza la medianoche. ","")&amp;IF(LEN(TRIM(F394))&lt;15,"Sin descripción suficiente. ","")&amp;IF(AND(ISERROR(SEARCH("R-0",F394)),ISERROR(SEARCH("CU-",F394))),"Sin ticket. ","")&amp;IF(ISNA(MATCH(E394,Datos!$E$8:$E$22,0)),"Proyecto sin valor hora. ","")&amp;IF(ISNA(MATCH(D394,Datos!$A$8:$A$22,0)),"Persona fuera del equipo. ","")))</f>
        <v/>
      </c>
      <c r="I394" s="21" t="n"/>
      <c r="J394" s="22" t="n"/>
      <c r="K394" s="23">
        <f>IF(G394="","",IF(J394&lt;&gt;"",MIN(J394,G394),IF(OR(I394="Observada",I394="Rechazada"),0,G394)))</f>
        <v/>
      </c>
      <c r="L394" s="24" t="n"/>
      <c r="M394" s="25">
        <f>IF(OR(A394="",D394=""),0,IF(COUNTIFS($A$2:A394,A394,$D$2:D394,D394)=1,1,0))</f>
        <v/>
      </c>
    </row>
    <row r="395">
      <c r="A395" s="26" t="n"/>
      <c r="B395" s="27" t="n"/>
      <c r="C395" s="27" t="n"/>
      <c r="D395" s="28" t="n"/>
      <c r="E395" s="28" t="n"/>
      <c r="F395" s="29" t="n"/>
      <c r="G395" s="30" t="n"/>
      <c r="H395" s="20">
        <f>IF(A395="","",TRIM(IF(WEEKDAY(A395,2)&gt;5,"Fin de semana. ","")&amp;IF(SUMIFS($G$2:$G$601,$A$2:$A$601,A395,$D$2:$D$601,D395)&gt;9,"Más de 9 h en el día. ","")&amp;IF(AND(B395&lt;&gt;"",C395&lt;&gt;"",C395&lt;B395),"Cruza la medianoche. ","")&amp;IF(LEN(TRIM(F395))&lt;15,"Sin descripción suficiente. ","")&amp;IF(AND(ISERROR(SEARCH("R-0",F395)),ISERROR(SEARCH("CU-",F395))),"Sin ticket. ","")&amp;IF(ISNA(MATCH(E395,Datos!$E$8:$E$22,0)),"Proyecto sin valor hora. ","")&amp;IF(ISNA(MATCH(D395,Datos!$A$8:$A$22,0)),"Persona fuera del equipo. ","")))</f>
        <v/>
      </c>
      <c r="I395" s="21" t="n"/>
      <c r="J395" s="22" t="n"/>
      <c r="K395" s="23">
        <f>IF(G395="","",IF(J395&lt;&gt;"",MIN(J395,G395),IF(OR(I395="Observada",I395="Rechazada"),0,G395)))</f>
        <v/>
      </c>
      <c r="L395" s="24" t="n"/>
      <c r="M395" s="25">
        <f>IF(OR(A395="",D395=""),0,IF(COUNTIFS($A$2:A395,A395,$D$2:D395,D395)=1,1,0))</f>
        <v/>
      </c>
    </row>
    <row r="396">
      <c r="A396" s="26" t="n"/>
      <c r="B396" s="27" t="n"/>
      <c r="C396" s="27" t="n"/>
      <c r="D396" s="28" t="n"/>
      <c r="E396" s="28" t="n"/>
      <c r="F396" s="29" t="n"/>
      <c r="G396" s="30" t="n"/>
      <c r="H396" s="20">
        <f>IF(A396="","",TRIM(IF(WEEKDAY(A396,2)&gt;5,"Fin de semana. ","")&amp;IF(SUMIFS($G$2:$G$601,$A$2:$A$601,A396,$D$2:$D$601,D396)&gt;9,"Más de 9 h en el día. ","")&amp;IF(AND(B396&lt;&gt;"",C396&lt;&gt;"",C396&lt;B396),"Cruza la medianoche. ","")&amp;IF(LEN(TRIM(F396))&lt;15,"Sin descripción suficiente. ","")&amp;IF(AND(ISERROR(SEARCH("R-0",F396)),ISERROR(SEARCH("CU-",F396))),"Sin ticket. ","")&amp;IF(ISNA(MATCH(E396,Datos!$E$8:$E$22,0)),"Proyecto sin valor hora. ","")&amp;IF(ISNA(MATCH(D396,Datos!$A$8:$A$22,0)),"Persona fuera del equipo. ","")))</f>
        <v/>
      </c>
      <c r="I396" s="21" t="n"/>
      <c r="J396" s="22" t="n"/>
      <c r="K396" s="23">
        <f>IF(G396="","",IF(J396&lt;&gt;"",MIN(J396,G396),IF(OR(I396="Observada",I396="Rechazada"),0,G396)))</f>
        <v/>
      </c>
      <c r="L396" s="24" t="n"/>
      <c r="M396" s="25">
        <f>IF(OR(A396="",D396=""),0,IF(COUNTIFS($A$2:A396,A396,$D$2:D396,D396)=1,1,0))</f>
        <v/>
      </c>
    </row>
    <row r="397">
      <c r="A397" s="26" t="n"/>
      <c r="B397" s="27" t="n"/>
      <c r="C397" s="27" t="n"/>
      <c r="D397" s="28" t="n"/>
      <c r="E397" s="28" t="n"/>
      <c r="F397" s="29" t="n"/>
      <c r="G397" s="30" t="n"/>
      <c r="H397" s="20">
        <f>IF(A397="","",TRIM(IF(WEEKDAY(A397,2)&gt;5,"Fin de semana. ","")&amp;IF(SUMIFS($G$2:$G$601,$A$2:$A$601,A397,$D$2:$D$601,D397)&gt;9,"Más de 9 h en el día. ","")&amp;IF(AND(B397&lt;&gt;"",C397&lt;&gt;"",C397&lt;B397),"Cruza la medianoche. ","")&amp;IF(LEN(TRIM(F397))&lt;15,"Sin descripción suficiente. ","")&amp;IF(AND(ISERROR(SEARCH("R-0",F397)),ISERROR(SEARCH("CU-",F397))),"Sin ticket. ","")&amp;IF(ISNA(MATCH(E397,Datos!$E$8:$E$22,0)),"Proyecto sin valor hora. ","")&amp;IF(ISNA(MATCH(D397,Datos!$A$8:$A$22,0)),"Persona fuera del equipo. ","")))</f>
        <v/>
      </c>
      <c r="I397" s="21" t="n"/>
      <c r="J397" s="22" t="n"/>
      <c r="K397" s="23">
        <f>IF(G397="","",IF(J397&lt;&gt;"",MIN(J397,G397),IF(OR(I397="Observada",I397="Rechazada"),0,G397)))</f>
        <v/>
      </c>
      <c r="L397" s="24" t="n"/>
      <c r="M397" s="25">
        <f>IF(OR(A397="",D397=""),0,IF(COUNTIFS($A$2:A397,A397,$D$2:D397,D397)=1,1,0))</f>
        <v/>
      </c>
    </row>
    <row r="398">
      <c r="A398" s="26" t="n"/>
      <c r="B398" s="27" t="n"/>
      <c r="C398" s="27" t="n"/>
      <c r="D398" s="28" t="n"/>
      <c r="E398" s="28" t="n"/>
      <c r="F398" s="29" t="n"/>
      <c r="G398" s="30" t="n"/>
      <c r="H398" s="20">
        <f>IF(A398="","",TRIM(IF(WEEKDAY(A398,2)&gt;5,"Fin de semana. ","")&amp;IF(SUMIFS($G$2:$G$601,$A$2:$A$601,A398,$D$2:$D$601,D398)&gt;9,"Más de 9 h en el día. ","")&amp;IF(AND(B398&lt;&gt;"",C398&lt;&gt;"",C398&lt;B398),"Cruza la medianoche. ","")&amp;IF(LEN(TRIM(F398))&lt;15,"Sin descripción suficiente. ","")&amp;IF(AND(ISERROR(SEARCH("R-0",F398)),ISERROR(SEARCH("CU-",F398))),"Sin ticket. ","")&amp;IF(ISNA(MATCH(E398,Datos!$E$8:$E$22,0)),"Proyecto sin valor hora. ","")&amp;IF(ISNA(MATCH(D398,Datos!$A$8:$A$22,0)),"Persona fuera del equipo. ","")))</f>
        <v/>
      </c>
      <c r="I398" s="21" t="n"/>
      <c r="J398" s="22" t="n"/>
      <c r="K398" s="23">
        <f>IF(G398="","",IF(J398&lt;&gt;"",MIN(J398,G398),IF(OR(I398="Observada",I398="Rechazada"),0,G398)))</f>
        <v/>
      </c>
      <c r="L398" s="24" t="n"/>
      <c r="M398" s="25">
        <f>IF(OR(A398="",D398=""),0,IF(COUNTIFS($A$2:A398,A398,$D$2:D398,D398)=1,1,0))</f>
        <v/>
      </c>
    </row>
    <row r="399">
      <c r="A399" s="26" t="n"/>
      <c r="B399" s="27" t="n"/>
      <c r="C399" s="27" t="n"/>
      <c r="D399" s="28" t="n"/>
      <c r="E399" s="28" t="n"/>
      <c r="F399" s="29" t="n"/>
      <c r="G399" s="30" t="n"/>
      <c r="H399" s="20">
        <f>IF(A399="","",TRIM(IF(WEEKDAY(A399,2)&gt;5,"Fin de semana. ","")&amp;IF(SUMIFS($G$2:$G$601,$A$2:$A$601,A399,$D$2:$D$601,D399)&gt;9,"Más de 9 h en el día. ","")&amp;IF(AND(B399&lt;&gt;"",C399&lt;&gt;"",C399&lt;B399),"Cruza la medianoche. ","")&amp;IF(LEN(TRIM(F399))&lt;15,"Sin descripción suficiente. ","")&amp;IF(AND(ISERROR(SEARCH("R-0",F399)),ISERROR(SEARCH("CU-",F399))),"Sin ticket. ","")&amp;IF(ISNA(MATCH(E399,Datos!$E$8:$E$22,0)),"Proyecto sin valor hora. ","")&amp;IF(ISNA(MATCH(D399,Datos!$A$8:$A$22,0)),"Persona fuera del equipo. ","")))</f>
        <v/>
      </c>
      <c r="I399" s="21" t="n"/>
      <c r="J399" s="22" t="n"/>
      <c r="K399" s="23">
        <f>IF(G399="","",IF(J399&lt;&gt;"",MIN(J399,G399),IF(OR(I399="Observada",I399="Rechazada"),0,G399)))</f>
        <v/>
      </c>
      <c r="L399" s="24" t="n"/>
      <c r="M399" s="25">
        <f>IF(OR(A399="",D399=""),0,IF(COUNTIFS($A$2:A399,A399,$D$2:D399,D399)=1,1,0))</f>
        <v/>
      </c>
    </row>
    <row r="400">
      <c r="A400" s="26" t="n"/>
      <c r="B400" s="27" t="n"/>
      <c r="C400" s="27" t="n"/>
      <c r="D400" s="28" t="n"/>
      <c r="E400" s="28" t="n"/>
      <c r="F400" s="29" t="n"/>
      <c r="G400" s="30" t="n"/>
      <c r="H400" s="20">
        <f>IF(A400="","",TRIM(IF(WEEKDAY(A400,2)&gt;5,"Fin de semana. ","")&amp;IF(SUMIFS($G$2:$G$601,$A$2:$A$601,A400,$D$2:$D$601,D400)&gt;9,"Más de 9 h en el día. ","")&amp;IF(AND(B400&lt;&gt;"",C400&lt;&gt;"",C400&lt;B400),"Cruza la medianoche. ","")&amp;IF(LEN(TRIM(F400))&lt;15,"Sin descripción suficiente. ","")&amp;IF(AND(ISERROR(SEARCH("R-0",F400)),ISERROR(SEARCH("CU-",F400))),"Sin ticket. ","")&amp;IF(ISNA(MATCH(E400,Datos!$E$8:$E$22,0)),"Proyecto sin valor hora. ","")&amp;IF(ISNA(MATCH(D400,Datos!$A$8:$A$22,0)),"Persona fuera del equipo. ","")))</f>
        <v/>
      </c>
      <c r="I400" s="21" t="n"/>
      <c r="J400" s="22" t="n"/>
      <c r="K400" s="23">
        <f>IF(G400="","",IF(J400&lt;&gt;"",MIN(J400,G400),IF(OR(I400="Observada",I400="Rechazada"),0,G400)))</f>
        <v/>
      </c>
      <c r="L400" s="24" t="n"/>
      <c r="M400" s="25">
        <f>IF(OR(A400="",D400=""),0,IF(COUNTIFS($A$2:A400,A400,$D$2:D400,D400)=1,1,0))</f>
        <v/>
      </c>
    </row>
    <row r="401">
      <c r="A401" s="26" t="n"/>
      <c r="B401" s="27" t="n"/>
      <c r="C401" s="27" t="n"/>
      <c r="D401" s="28" t="n"/>
      <c r="E401" s="28" t="n"/>
      <c r="F401" s="29" t="n"/>
      <c r="G401" s="30" t="n"/>
      <c r="H401" s="20">
        <f>IF(A401="","",TRIM(IF(WEEKDAY(A401,2)&gt;5,"Fin de semana. ","")&amp;IF(SUMIFS($G$2:$G$601,$A$2:$A$601,A401,$D$2:$D$601,D401)&gt;9,"Más de 9 h en el día. ","")&amp;IF(AND(B401&lt;&gt;"",C401&lt;&gt;"",C401&lt;B401),"Cruza la medianoche. ","")&amp;IF(LEN(TRIM(F401))&lt;15,"Sin descripción suficiente. ","")&amp;IF(AND(ISERROR(SEARCH("R-0",F401)),ISERROR(SEARCH("CU-",F401))),"Sin ticket. ","")&amp;IF(ISNA(MATCH(E401,Datos!$E$8:$E$22,0)),"Proyecto sin valor hora. ","")&amp;IF(ISNA(MATCH(D401,Datos!$A$8:$A$22,0)),"Persona fuera del equipo. ","")))</f>
        <v/>
      </c>
      <c r="I401" s="21" t="n"/>
      <c r="J401" s="22" t="n"/>
      <c r="K401" s="23">
        <f>IF(G401="","",IF(J401&lt;&gt;"",MIN(J401,G401),IF(OR(I401="Observada",I401="Rechazada"),0,G401)))</f>
        <v/>
      </c>
      <c r="L401" s="24" t="n"/>
      <c r="M401" s="25">
        <f>IF(OR(A401="",D401=""),0,IF(COUNTIFS($A$2:A401,A401,$D$2:D401,D401)=1,1,0))</f>
        <v/>
      </c>
    </row>
    <row r="402">
      <c r="A402" s="26" t="n"/>
      <c r="B402" s="27" t="n"/>
      <c r="C402" s="27" t="n"/>
      <c r="D402" s="28" t="n"/>
      <c r="E402" s="28" t="n"/>
      <c r="F402" s="29" t="n"/>
      <c r="G402" s="30" t="n"/>
      <c r="H402" s="20">
        <f>IF(A402="","",TRIM(IF(WEEKDAY(A402,2)&gt;5,"Fin de semana. ","")&amp;IF(SUMIFS($G$2:$G$601,$A$2:$A$601,A402,$D$2:$D$601,D402)&gt;9,"Más de 9 h en el día. ","")&amp;IF(AND(B402&lt;&gt;"",C402&lt;&gt;"",C402&lt;B402),"Cruza la medianoche. ","")&amp;IF(LEN(TRIM(F402))&lt;15,"Sin descripción suficiente. ","")&amp;IF(AND(ISERROR(SEARCH("R-0",F402)),ISERROR(SEARCH("CU-",F402))),"Sin ticket. ","")&amp;IF(ISNA(MATCH(E402,Datos!$E$8:$E$22,0)),"Proyecto sin valor hora. ","")&amp;IF(ISNA(MATCH(D402,Datos!$A$8:$A$22,0)),"Persona fuera del equipo. ","")))</f>
        <v/>
      </c>
      <c r="I402" s="21" t="n"/>
      <c r="J402" s="22" t="n"/>
      <c r="K402" s="23">
        <f>IF(G402="","",IF(J402&lt;&gt;"",MIN(J402,G402),IF(OR(I402="Observada",I402="Rechazada"),0,G402)))</f>
        <v/>
      </c>
      <c r="L402" s="24" t="n"/>
      <c r="M402" s="25">
        <f>IF(OR(A402="",D402=""),0,IF(COUNTIFS($A$2:A402,A402,$D$2:D402,D402)=1,1,0))</f>
        <v/>
      </c>
    </row>
    <row r="403">
      <c r="A403" s="26" t="n"/>
      <c r="B403" s="27" t="n"/>
      <c r="C403" s="27" t="n"/>
      <c r="D403" s="28" t="n"/>
      <c r="E403" s="28" t="n"/>
      <c r="F403" s="29" t="n"/>
      <c r="G403" s="30" t="n"/>
      <c r="H403" s="20">
        <f>IF(A403="","",TRIM(IF(WEEKDAY(A403,2)&gt;5,"Fin de semana. ","")&amp;IF(SUMIFS($G$2:$G$601,$A$2:$A$601,A403,$D$2:$D$601,D403)&gt;9,"Más de 9 h en el día. ","")&amp;IF(AND(B403&lt;&gt;"",C403&lt;&gt;"",C403&lt;B403),"Cruza la medianoche. ","")&amp;IF(LEN(TRIM(F403))&lt;15,"Sin descripción suficiente. ","")&amp;IF(AND(ISERROR(SEARCH("R-0",F403)),ISERROR(SEARCH("CU-",F403))),"Sin ticket. ","")&amp;IF(ISNA(MATCH(E403,Datos!$E$8:$E$22,0)),"Proyecto sin valor hora. ","")&amp;IF(ISNA(MATCH(D403,Datos!$A$8:$A$22,0)),"Persona fuera del equipo. ","")))</f>
        <v/>
      </c>
      <c r="I403" s="21" t="n"/>
      <c r="J403" s="22" t="n"/>
      <c r="K403" s="23">
        <f>IF(G403="","",IF(J403&lt;&gt;"",MIN(J403,G403),IF(OR(I403="Observada",I403="Rechazada"),0,G403)))</f>
        <v/>
      </c>
      <c r="L403" s="24" t="n"/>
      <c r="M403" s="25">
        <f>IF(OR(A403="",D403=""),0,IF(COUNTIFS($A$2:A403,A403,$D$2:D403,D403)=1,1,0))</f>
        <v/>
      </c>
    </row>
    <row r="404">
      <c r="A404" s="26" t="n"/>
      <c r="B404" s="27" t="n"/>
      <c r="C404" s="27" t="n"/>
      <c r="D404" s="28" t="n"/>
      <c r="E404" s="28" t="n"/>
      <c r="F404" s="29" t="n"/>
      <c r="G404" s="30" t="n"/>
      <c r="H404" s="20">
        <f>IF(A404="","",TRIM(IF(WEEKDAY(A404,2)&gt;5,"Fin de semana. ","")&amp;IF(SUMIFS($G$2:$G$601,$A$2:$A$601,A404,$D$2:$D$601,D404)&gt;9,"Más de 9 h en el día. ","")&amp;IF(AND(B404&lt;&gt;"",C404&lt;&gt;"",C404&lt;B404),"Cruza la medianoche. ","")&amp;IF(LEN(TRIM(F404))&lt;15,"Sin descripción suficiente. ","")&amp;IF(AND(ISERROR(SEARCH("R-0",F404)),ISERROR(SEARCH("CU-",F404))),"Sin ticket. ","")&amp;IF(ISNA(MATCH(E404,Datos!$E$8:$E$22,0)),"Proyecto sin valor hora. ","")&amp;IF(ISNA(MATCH(D404,Datos!$A$8:$A$22,0)),"Persona fuera del equipo. ","")))</f>
        <v/>
      </c>
      <c r="I404" s="21" t="n"/>
      <c r="J404" s="22" t="n"/>
      <c r="K404" s="23">
        <f>IF(G404="","",IF(J404&lt;&gt;"",MIN(J404,G404),IF(OR(I404="Observada",I404="Rechazada"),0,G404)))</f>
        <v/>
      </c>
      <c r="L404" s="24" t="n"/>
      <c r="M404" s="25">
        <f>IF(OR(A404="",D404=""),0,IF(COUNTIFS($A$2:A404,A404,$D$2:D404,D404)=1,1,0))</f>
        <v/>
      </c>
    </row>
    <row r="405">
      <c r="A405" s="26" t="n"/>
      <c r="B405" s="27" t="n"/>
      <c r="C405" s="27" t="n"/>
      <c r="D405" s="28" t="n"/>
      <c r="E405" s="28" t="n"/>
      <c r="F405" s="29" t="n"/>
      <c r="G405" s="30" t="n"/>
      <c r="H405" s="20">
        <f>IF(A405="","",TRIM(IF(WEEKDAY(A405,2)&gt;5,"Fin de semana. ","")&amp;IF(SUMIFS($G$2:$G$601,$A$2:$A$601,A405,$D$2:$D$601,D405)&gt;9,"Más de 9 h en el día. ","")&amp;IF(AND(B405&lt;&gt;"",C405&lt;&gt;"",C405&lt;B405),"Cruza la medianoche. ","")&amp;IF(LEN(TRIM(F405))&lt;15,"Sin descripción suficiente. ","")&amp;IF(AND(ISERROR(SEARCH("R-0",F405)),ISERROR(SEARCH("CU-",F405))),"Sin ticket. ","")&amp;IF(ISNA(MATCH(E405,Datos!$E$8:$E$22,0)),"Proyecto sin valor hora. ","")&amp;IF(ISNA(MATCH(D405,Datos!$A$8:$A$22,0)),"Persona fuera del equipo. ","")))</f>
        <v/>
      </c>
      <c r="I405" s="21" t="n"/>
      <c r="J405" s="22" t="n"/>
      <c r="K405" s="23">
        <f>IF(G405="","",IF(J405&lt;&gt;"",MIN(J405,G405),IF(OR(I405="Observada",I405="Rechazada"),0,G405)))</f>
        <v/>
      </c>
      <c r="L405" s="24" t="n"/>
      <c r="M405" s="25">
        <f>IF(OR(A405="",D405=""),0,IF(COUNTIFS($A$2:A405,A405,$D$2:D405,D405)=1,1,0))</f>
        <v/>
      </c>
    </row>
    <row r="406">
      <c r="A406" s="26" t="n"/>
      <c r="B406" s="27" t="n"/>
      <c r="C406" s="27" t="n"/>
      <c r="D406" s="28" t="n"/>
      <c r="E406" s="28" t="n"/>
      <c r="F406" s="29" t="n"/>
      <c r="G406" s="30" t="n"/>
      <c r="H406" s="20">
        <f>IF(A406="","",TRIM(IF(WEEKDAY(A406,2)&gt;5,"Fin de semana. ","")&amp;IF(SUMIFS($G$2:$G$601,$A$2:$A$601,A406,$D$2:$D$601,D406)&gt;9,"Más de 9 h en el día. ","")&amp;IF(AND(B406&lt;&gt;"",C406&lt;&gt;"",C406&lt;B406),"Cruza la medianoche. ","")&amp;IF(LEN(TRIM(F406))&lt;15,"Sin descripción suficiente. ","")&amp;IF(AND(ISERROR(SEARCH("R-0",F406)),ISERROR(SEARCH("CU-",F406))),"Sin ticket. ","")&amp;IF(ISNA(MATCH(E406,Datos!$E$8:$E$22,0)),"Proyecto sin valor hora. ","")&amp;IF(ISNA(MATCH(D406,Datos!$A$8:$A$22,0)),"Persona fuera del equipo. ","")))</f>
        <v/>
      </c>
      <c r="I406" s="21" t="n"/>
      <c r="J406" s="22" t="n"/>
      <c r="K406" s="23">
        <f>IF(G406="","",IF(J406&lt;&gt;"",MIN(J406,G406),IF(OR(I406="Observada",I406="Rechazada"),0,G406)))</f>
        <v/>
      </c>
      <c r="L406" s="24" t="n"/>
      <c r="M406" s="25">
        <f>IF(OR(A406="",D406=""),0,IF(COUNTIFS($A$2:A406,A406,$D$2:D406,D406)=1,1,0))</f>
        <v/>
      </c>
    </row>
    <row r="407">
      <c r="A407" s="26" t="n"/>
      <c r="B407" s="27" t="n"/>
      <c r="C407" s="27" t="n"/>
      <c r="D407" s="28" t="n"/>
      <c r="E407" s="28" t="n"/>
      <c r="F407" s="29" t="n"/>
      <c r="G407" s="30" t="n"/>
      <c r="H407" s="20">
        <f>IF(A407="","",TRIM(IF(WEEKDAY(A407,2)&gt;5,"Fin de semana. ","")&amp;IF(SUMIFS($G$2:$G$601,$A$2:$A$601,A407,$D$2:$D$601,D407)&gt;9,"Más de 9 h en el día. ","")&amp;IF(AND(B407&lt;&gt;"",C407&lt;&gt;"",C407&lt;B407),"Cruza la medianoche. ","")&amp;IF(LEN(TRIM(F407))&lt;15,"Sin descripción suficiente. ","")&amp;IF(AND(ISERROR(SEARCH("R-0",F407)),ISERROR(SEARCH("CU-",F407))),"Sin ticket. ","")&amp;IF(ISNA(MATCH(E407,Datos!$E$8:$E$22,0)),"Proyecto sin valor hora. ","")&amp;IF(ISNA(MATCH(D407,Datos!$A$8:$A$22,0)),"Persona fuera del equipo. ","")))</f>
        <v/>
      </c>
      <c r="I407" s="21" t="n"/>
      <c r="J407" s="22" t="n"/>
      <c r="K407" s="23">
        <f>IF(G407="","",IF(J407&lt;&gt;"",MIN(J407,G407),IF(OR(I407="Observada",I407="Rechazada"),0,G407)))</f>
        <v/>
      </c>
      <c r="L407" s="24" t="n"/>
      <c r="M407" s="25">
        <f>IF(OR(A407="",D407=""),0,IF(COUNTIFS($A$2:A407,A407,$D$2:D407,D407)=1,1,0))</f>
        <v/>
      </c>
    </row>
    <row r="408">
      <c r="A408" s="26" t="n"/>
      <c r="B408" s="27" t="n"/>
      <c r="C408" s="27" t="n"/>
      <c r="D408" s="28" t="n"/>
      <c r="E408" s="28" t="n"/>
      <c r="F408" s="29" t="n"/>
      <c r="G408" s="30" t="n"/>
      <c r="H408" s="20">
        <f>IF(A408="","",TRIM(IF(WEEKDAY(A408,2)&gt;5,"Fin de semana. ","")&amp;IF(SUMIFS($G$2:$G$601,$A$2:$A$601,A408,$D$2:$D$601,D408)&gt;9,"Más de 9 h en el día. ","")&amp;IF(AND(B408&lt;&gt;"",C408&lt;&gt;"",C408&lt;B408),"Cruza la medianoche. ","")&amp;IF(LEN(TRIM(F408))&lt;15,"Sin descripción suficiente. ","")&amp;IF(AND(ISERROR(SEARCH("R-0",F408)),ISERROR(SEARCH("CU-",F408))),"Sin ticket. ","")&amp;IF(ISNA(MATCH(E408,Datos!$E$8:$E$22,0)),"Proyecto sin valor hora. ","")&amp;IF(ISNA(MATCH(D408,Datos!$A$8:$A$22,0)),"Persona fuera del equipo. ","")))</f>
        <v/>
      </c>
      <c r="I408" s="21" t="n"/>
      <c r="J408" s="22" t="n"/>
      <c r="K408" s="23">
        <f>IF(G408="","",IF(J408&lt;&gt;"",MIN(J408,G408),IF(OR(I408="Observada",I408="Rechazada"),0,G408)))</f>
        <v/>
      </c>
      <c r="L408" s="24" t="n"/>
      <c r="M408" s="25">
        <f>IF(OR(A408="",D408=""),0,IF(COUNTIFS($A$2:A408,A408,$D$2:D408,D408)=1,1,0))</f>
        <v/>
      </c>
    </row>
    <row r="409">
      <c r="A409" s="26" t="n"/>
      <c r="B409" s="27" t="n"/>
      <c r="C409" s="27" t="n"/>
      <c r="D409" s="28" t="n"/>
      <c r="E409" s="28" t="n"/>
      <c r="F409" s="29" t="n"/>
      <c r="G409" s="30" t="n"/>
      <c r="H409" s="20">
        <f>IF(A409="","",TRIM(IF(WEEKDAY(A409,2)&gt;5,"Fin de semana. ","")&amp;IF(SUMIFS($G$2:$G$601,$A$2:$A$601,A409,$D$2:$D$601,D409)&gt;9,"Más de 9 h en el día. ","")&amp;IF(AND(B409&lt;&gt;"",C409&lt;&gt;"",C409&lt;B409),"Cruza la medianoche. ","")&amp;IF(LEN(TRIM(F409))&lt;15,"Sin descripción suficiente. ","")&amp;IF(AND(ISERROR(SEARCH("R-0",F409)),ISERROR(SEARCH("CU-",F409))),"Sin ticket. ","")&amp;IF(ISNA(MATCH(E409,Datos!$E$8:$E$22,0)),"Proyecto sin valor hora. ","")&amp;IF(ISNA(MATCH(D409,Datos!$A$8:$A$22,0)),"Persona fuera del equipo. ","")))</f>
        <v/>
      </c>
      <c r="I409" s="21" t="n"/>
      <c r="J409" s="22" t="n"/>
      <c r="K409" s="23">
        <f>IF(G409="","",IF(J409&lt;&gt;"",MIN(J409,G409),IF(OR(I409="Observada",I409="Rechazada"),0,G409)))</f>
        <v/>
      </c>
      <c r="L409" s="24" t="n"/>
      <c r="M409" s="25">
        <f>IF(OR(A409="",D409=""),0,IF(COUNTIFS($A$2:A409,A409,$D$2:D409,D409)=1,1,0))</f>
        <v/>
      </c>
    </row>
    <row r="410">
      <c r="A410" s="26" t="n"/>
      <c r="B410" s="27" t="n"/>
      <c r="C410" s="27" t="n"/>
      <c r="D410" s="28" t="n"/>
      <c r="E410" s="28" t="n"/>
      <c r="F410" s="29" t="n"/>
      <c r="G410" s="30" t="n"/>
      <c r="H410" s="20">
        <f>IF(A410="","",TRIM(IF(WEEKDAY(A410,2)&gt;5,"Fin de semana. ","")&amp;IF(SUMIFS($G$2:$G$601,$A$2:$A$601,A410,$D$2:$D$601,D410)&gt;9,"Más de 9 h en el día. ","")&amp;IF(AND(B410&lt;&gt;"",C410&lt;&gt;"",C410&lt;B410),"Cruza la medianoche. ","")&amp;IF(LEN(TRIM(F410))&lt;15,"Sin descripción suficiente. ","")&amp;IF(AND(ISERROR(SEARCH("R-0",F410)),ISERROR(SEARCH("CU-",F410))),"Sin ticket. ","")&amp;IF(ISNA(MATCH(E410,Datos!$E$8:$E$22,0)),"Proyecto sin valor hora. ","")&amp;IF(ISNA(MATCH(D410,Datos!$A$8:$A$22,0)),"Persona fuera del equipo. ","")))</f>
        <v/>
      </c>
      <c r="I410" s="21" t="n"/>
      <c r="J410" s="22" t="n"/>
      <c r="K410" s="23">
        <f>IF(G410="","",IF(J410&lt;&gt;"",MIN(J410,G410),IF(OR(I410="Observada",I410="Rechazada"),0,G410)))</f>
        <v/>
      </c>
      <c r="L410" s="24" t="n"/>
      <c r="M410" s="25">
        <f>IF(OR(A410="",D410=""),0,IF(COUNTIFS($A$2:A410,A410,$D$2:D410,D410)=1,1,0))</f>
        <v/>
      </c>
    </row>
    <row r="411">
      <c r="A411" s="26" t="n"/>
      <c r="B411" s="27" t="n"/>
      <c r="C411" s="27" t="n"/>
      <c r="D411" s="28" t="n"/>
      <c r="E411" s="28" t="n"/>
      <c r="F411" s="29" t="n"/>
      <c r="G411" s="30" t="n"/>
      <c r="H411" s="20">
        <f>IF(A411="","",TRIM(IF(WEEKDAY(A411,2)&gt;5,"Fin de semana. ","")&amp;IF(SUMIFS($G$2:$G$601,$A$2:$A$601,A411,$D$2:$D$601,D411)&gt;9,"Más de 9 h en el día. ","")&amp;IF(AND(B411&lt;&gt;"",C411&lt;&gt;"",C411&lt;B411),"Cruza la medianoche. ","")&amp;IF(LEN(TRIM(F411))&lt;15,"Sin descripción suficiente. ","")&amp;IF(AND(ISERROR(SEARCH("R-0",F411)),ISERROR(SEARCH("CU-",F411))),"Sin ticket. ","")&amp;IF(ISNA(MATCH(E411,Datos!$E$8:$E$22,0)),"Proyecto sin valor hora. ","")&amp;IF(ISNA(MATCH(D411,Datos!$A$8:$A$22,0)),"Persona fuera del equipo. ","")))</f>
        <v/>
      </c>
      <c r="I411" s="21" t="n"/>
      <c r="J411" s="22" t="n"/>
      <c r="K411" s="23">
        <f>IF(G411="","",IF(J411&lt;&gt;"",MIN(J411,G411),IF(OR(I411="Observada",I411="Rechazada"),0,G411)))</f>
        <v/>
      </c>
      <c r="L411" s="24" t="n"/>
      <c r="M411" s="25">
        <f>IF(OR(A411="",D411=""),0,IF(COUNTIFS($A$2:A411,A411,$D$2:D411,D411)=1,1,0))</f>
        <v/>
      </c>
    </row>
    <row r="412">
      <c r="A412" s="26" t="n"/>
      <c r="B412" s="27" t="n"/>
      <c r="C412" s="27" t="n"/>
      <c r="D412" s="28" t="n"/>
      <c r="E412" s="28" t="n"/>
      <c r="F412" s="29" t="n"/>
      <c r="G412" s="30" t="n"/>
      <c r="H412" s="20">
        <f>IF(A412="","",TRIM(IF(WEEKDAY(A412,2)&gt;5,"Fin de semana. ","")&amp;IF(SUMIFS($G$2:$G$601,$A$2:$A$601,A412,$D$2:$D$601,D412)&gt;9,"Más de 9 h en el día. ","")&amp;IF(AND(B412&lt;&gt;"",C412&lt;&gt;"",C412&lt;B412),"Cruza la medianoche. ","")&amp;IF(LEN(TRIM(F412))&lt;15,"Sin descripción suficiente. ","")&amp;IF(AND(ISERROR(SEARCH("R-0",F412)),ISERROR(SEARCH("CU-",F412))),"Sin ticket. ","")&amp;IF(ISNA(MATCH(E412,Datos!$E$8:$E$22,0)),"Proyecto sin valor hora. ","")&amp;IF(ISNA(MATCH(D412,Datos!$A$8:$A$22,0)),"Persona fuera del equipo. ","")))</f>
        <v/>
      </c>
      <c r="I412" s="21" t="n"/>
      <c r="J412" s="22" t="n"/>
      <c r="K412" s="23">
        <f>IF(G412="","",IF(J412&lt;&gt;"",MIN(J412,G412),IF(OR(I412="Observada",I412="Rechazada"),0,G412)))</f>
        <v/>
      </c>
      <c r="L412" s="24" t="n"/>
      <c r="M412" s="25">
        <f>IF(OR(A412="",D412=""),0,IF(COUNTIFS($A$2:A412,A412,$D$2:D412,D412)=1,1,0))</f>
        <v/>
      </c>
    </row>
    <row r="413">
      <c r="A413" s="26" t="n"/>
      <c r="B413" s="27" t="n"/>
      <c r="C413" s="27" t="n"/>
      <c r="D413" s="28" t="n"/>
      <c r="E413" s="28" t="n"/>
      <c r="F413" s="29" t="n"/>
      <c r="G413" s="30" t="n"/>
      <c r="H413" s="20">
        <f>IF(A413="","",TRIM(IF(WEEKDAY(A413,2)&gt;5,"Fin de semana. ","")&amp;IF(SUMIFS($G$2:$G$601,$A$2:$A$601,A413,$D$2:$D$601,D413)&gt;9,"Más de 9 h en el día. ","")&amp;IF(AND(B413&lt;&gt;"",C413&lt;&gt;"",C413&lt;B413),"Cruza la medianoche. ","")&amp;IF(LEN(TRIM(F413))&lt;15,"Sin descripción suficiente. ","")&amp;IF(AND(ISERROR(SEARCH("R-0",F413)),ISERROR(SEARCH("CU-",F413))),"Sin ticket. ","")&amp;IF(ISNA(MATCH(E413,Datos!$E$8:$E$22,0)),"Proyecto sin valor hora. ","")&amp;IF(ISNA(MATCH(D413,Datos!$A$8:$A$22,0)),"Persona fuera del equipo. ","")))</f>
        <v/>
      </c>
      <c r="I413" s="21" t="n"/>
      <c r="J413" s="22" t="n"/>
      <c r="K413" s="23">
        <f>IF(G413="","",IF(J413&lt;&gt;"",MIN(J413,G413),IF(OR(I413="Observada",I413="Rechazada"),0,G413)))</f>
        <v/>
      </c>
      <c r="L413" s="24" t="n"/>
      <c r="M413" s="25">
        <f>IF(OR(A413="",D413=""),0,IF(COUNTIFS($A$2:A413,A413,$D$2:D413,D413)=1,1,0))</f>
        <v/>
      </c>
    </row>
    <row r="414">
      <c r="A414" s="26" t="n"/>
      <c r="B414" s="27" t="n"/>
      <c r="C414" s="27" t="n"/>
      <c r="D414" s="28" t="n"/>
      <c r="E414" s="28" t="n"/>
      <c r="F414" s="29" t="n"/>
      <c r="G414" s="30" t="n"/>
      <c r="H414" s="20">
        <f>IF(A414="","",TRIM(IF(WEEKDAY(A414,2)&gt;5,"Fin de semana. ","")&amp;IF(SUMIFS($G$2:$G$601,$A$2:$A$601,A414,$D$2:$D$601,D414)&gt;9,"Más de 9 h en el día. ","")&amp;IF(AND(B414&lt;&gt;"",C414&lt;&gt;"",C414&lt;B414),"Cruza la medianoche. ","")&amp;IF(LEN(TRIM(F414))&lt;15,"Sin descripción suficiente. ","")&amp;IF(AND(ISERROR(SEARCH("R-0",F414)),ISERROR(SEARCH("CU-",F414))),"Sin ticket. ","")&amp;IF(ISNA(MATCH(E414,Datos!$E$8:$E$22,0)),"Proyecto sin valor hora. ","")&amp;IF(ISNA(MATCH(D414,Datos!$A$8:$A$22,0)),"Persona fuera del equipo. ","")))</f>
        <v/>
      </c>
      <c r="I414" s="21" t="n"/>
      <c r="J414" s="22" t="n"/>
      <c r="K414" s="23">
        <f>IF(G414="","",IF(J414&lt;&gt;"",MIN(J414,G414),IF(OR(I414="Observada",I414="Rechazada"),0,G414)))</f>
        <v/>
      </c>
      <c r="L414" s="24" t="n"/>
      <c r="M414" s="25">
        <f>IF(OR(A414="",D414=""),0,IF(COUNTIFS($A$2:A414,A414,$D$2:D414,D414)=1,1,0))</f>
        <v/>
      </c>
    </row>
    <row r="415">
      <c r="A415" s="26" t="n"/>
      <c r="B415" s="27" t="n"/>
      <c r="C415" s="27" t="n"/>
      <c r="D415" s="28" t="n"/>
      <c r="E415" s="28" t="n"/>
      <c r="F415" s="29" t="n"/>
      <c r="G415" s="30" t="n"/>
      <c r="H415" s="20">
        <f>IF(A415="","",TRIM(IF(WEEKDAY(A415,2)&gt;5,"Fin de semana. ","")&amp;IF(SUMIFS($G$2:$G$601,$A$2:$A$601,A415,$D$2:$D$601,D415)&gt;9,"Más de 9 h en el día. ","")&amp;IF(AND(B415&lt;&gt;"",C415&lt;&gt;"",C415&lt;B415),"Cruza la medianoche. ","")&amp;IF(LEN(TRIM(F415))&lt;15,"Sin descripción suficiente. ","")&amp;IF(AND(ISERROR(SEARCH("R-0",F415)),ISERROR(SEARCH("CU-",F415))),"Sin ticket. ","")&amp;IF(ISNA(MATCH(E415,Datos!$E$8:$E$22,0)),"Proyecto sin valor hora. ","")&amp;IF(ISNA(MATCH(D415,Datos!$A$8:$A$22,0)),"Persona fuera del equipo. ","")))</f>
        <v/>
      </c>
      <c r="I415" s="21" t="n"/>
      <c r="J415" s="22" t="n"/>
      <c r="K415" s="23">
        <f>IF(G415="","",IF(J415&lt;&gt;"",MIN(J415,G415),IF(OR(I415="Observada",I415="Rechazada"),0,G415)))</f>
        <v/>
      </c>
      <c r="L415" s="24" t="n"/>
      <c r="M415" s="25">
        <f>IF(OR(A415="",D415=""),0,IF(COUNTIFS($A$2:A415,A415,$D$2:D415,D415)=1,1,0))</f>
        <v/>
      </c>
    </row>
    <row r="416">
      <c r="A416" s="26" t="n"/>
      <c r="B416" s="27" t="n"/>
      <c r="C416" s="27" t="n"/>
      <c r="D416" s="28" t="n"/>
      <c r="E416" s="28" t="n"/>
      <c r="F416" s="29" t="n"/>
      <c r="G416" s="30" t="n"/>
      <c r="H416" s="20">
        <f>IF(A416="","",TRIM(IF(WEEKDAY(A416,2)&gt;5,"Fin de semana. ","")&amp;IF(SUMIFS($G$2:$G$601,$A$2:$A$601,A416,$D$2:$D$601,D416)&gt;9,"Más de 9 h en el día. ","")&amp;IF(AND(B416&lt;&gt;"",C416&lt;&gt;"",C416&lt;B416),"Cruza la medianoche. ","")&amp;IF(LEN(TRIM(F416))&lt;15,"Sin descripción suficiente. ","")&amp;IF(AND(ISERROR(SEARCH("R-0",F416)),ISERROR(SEARCH("CU-",F416))),"Sin ticket. ","")&amp;IF(ISNA(MATCH(E416,Datos!$E$8:$E$22,0)),"Proyecto sin valor hora. ","")&amp;IF(ISNA(MATCH(D416,Datos!$A$8:$A$22,0)),"Persona fuera del equipo. ","")))</f>
        <v/>
      </c>
      <c r="I416" s="21" t="n"/>
      <c r="J416" s="22" t="n"/>
      <c r="K416" s="23">
        <f>IF(G416="","",IF(J416&lt;&gt;"",MIN(J416,G416),IF(OR(I416="Observada",I416="Rechazada"),0,G416)))</f>
        <v/>
      </c>
      <c r="L416" s="24" t="n"/>
      <c r="M416" s="25">
        <f>IF(OR(A416="",D416=""),0,IF(COUNTIFS($A$2:A416,A416,$D$2:D416,D416)=1,1,0))</f>
        <v/>
      </c>
    </row>
    <row r="417">
      <c r="A417" s="26" t="n"/>
      <c r="B417" s="27" t="n"/>
      <c r="C417" s="27" t="n"/>
      <c r="D417" s="28" t="n"/>
      <c r="E417" s="28" t="n"/>
      <c r="F417" s="29" t="n"/>
      <c r="G417" s="30" t="n"/>
      <c r="H417" s="20">
        <f>IF(A417="","",TRIM(IF(WEEKDAY(A417,2)&gt;5,"Fin de semana. ","")&amp;IF(SUMIFS($G$2:$G$601,$A$2:$A$601,A417,$D$2:$D$601,D417)&gt;9,"Más de 9 h en el día. ","")&amp;IF(AND(B417&lt;&gt;"",C417&lt;&gt;"",C417&lt;B417),"Cruza la medianoche. ","")&amp;IF(LEN(TRIM(F417))&lt;15,"Sin descripción suficiente. ","")&amp;IF(AND(ISERROR(SEARCH("R-0",F417)),ISERROR(SEARCH("CU-",F417))),"Sin ticket. ","")&amp;IF(ISNA(MATCH(E417,Datos!$E$8:$E$22,0)),"Proyecto sin valor hora. ","")&amp;IF(ISNA(MATCH(D417,Datos!$A$8:$A$22,0)),"Persona fuera del equipo. ","")))</f>
        <v/>
      </c>
      <c r="I417" s="21" t="n"/>
      <c r="J417" s="22" t="n"/>
      <c r="K417" s="23">
        <f>IF(G417="","",IF(J417&lt;&gt;"",MIN(J417,G417),IF(OR(I417="Observada",I417="Rechazada"),0,G417)))</f>
        <v/>
      </c>
      <c r="L417" s="24" t="n"/>
      <c r="M417" s="25">
        <f>IF(OR(A417="",D417=""),0,IF(COUNTIFS($A$2:A417,A417,$D$2:D417,D417)=1,1,0))</f>
        <v/>
      </c>
    </row>
    <row r="418">
      <c r="A418" s="26" t="n"/>
      <c r="B418" s="27" t="n"/>
      <c r="C418" s="27" t="n"/>
      <c r="D418" s="28" t="n"/>
      <c r="E418" s="28" t="n"/>
      <c r="F418" s="29" t="n"/>
      <c r="G418" s="30" t="n"/>
      <c r="H418" s="20">
        <f>IF(A418="","",TRIM(IF(WEEKDAY(A418,2)&gt;5,"Fin de semana. ","")&amp;IF(SUMIFS($G$2:$G$601,$A$2:$A$601,A418,$D$2:$D$601,D418)&gt;9,"Más de 9 h en el día. ","")&amp;IF(AND(B418&lt;&gt;"",C418&lt;&gt;"",C418&lt;B418),"Cruza la medianoche. ","")&amp;IF(LEN(TRIM(F418))&lt;15,"Sin descripción suficiente. ","")&amp;IF(AND(ISERROR(SEARCH("R-0",F418)),ISERROR(SEARCH("CU-",F418))),"Sin ticket. ","")&amp;IF(ISNA(MATCH(E418,Datos!$E$8:$E$22,0)),"Proyecto sin valor hora. ","")&amp;IF(ISNA(MATCH(D418,Datos!$A$8:$A$22,0)),"Persona fuera del equipo. ","")))</f>
        <v/>
      </c>
      <c r="I418" s="21" t="n"/>
      <c r="J418" s="22" t="n"/>
      <c r="K418" s="23">
        <f>IF(G418="","",IF(J418&lt;&gt;"",MIN(J418,G418),IF(OR(I418="Observada",I418="Rechazada"),0,G418)))</f>
        <v/>
      </c>
      <c r="L418" s="24" t="n"/>
      <c r="M418" s="25">
        <f>IF(OR(A418="",D418=""),0,IF(COUNTIFS($A$2:A418,A418,$D$2:D418,D418)=1,1,0))</f>
        <v/>
      </c>
    </row>
    <row r="419">
      <c r="A419" s="26" t="n"/>
      <c r="B419" s="27" t="n"/>
      <c r="C419" s="27" t="n"/>
      <c r="D419" s="28" t="n"/>
      <c r="E419" s="28" t="n"/>
      <c r="F419" s="29" t="n"/>
      <c r="G419" s="30" t="n"/>
      <c r="H419" s="20">
        <f>IF(A419="","",TRIM(IF(WEEKDAY(A419,2)&gt;5,"Fin de semana. ","")&amp;IF(SUMIFS($G$2:$G$601,$A$2:$A$601,A419,$D$2:$D$601,D419)&gt;9,"Más de 9 h en el día. ","")&amp;IF(AND(B419&lt;&gt;"",C419&lt;&gt;"",C419&lt;B419),"Cruza la medianoche. ","")&amp;IF(LEN(TRIM(F419))&lt;15,"Sin descripción suficiente. ","")&amp;IF(AND(ISERROR(SEARCH("R-0",F419)),ISERROR(SEARCH("CU-",F419))),"Sin ticket. ","")&amp;IF(ISNA(MATCH(E419,Datos!$E$8:$E$22,0)),"Proyecto sin valor hora. ","")&amp;IF(ISNA(MATCH(D419,Datos!$A$8:$A$22,0)),"Persona fuera del equipo. ","")))</f>
        <v/>
      </c>
      <c r="I419" s="21" t="n"/>
      <c r="J419" s="22" t="n"/>
      <c r="K419" s="23">
        <f>IF(G419="","",IF(J419&lt;&gt;"",MIN(J419,G419),IF(OR(I419="Observada",I419="Rechazada"),0,G419)))</f>
        <v/>
      </c>
      <c r="L419" s="24" t="n"/>
      <c r="M419" s="25">
        <f>IF(OR(A419="",D419=""),0,IF(COUNTIFS($A$2:A419,A419,$D$2:D419,D419)=1,1,0))</f>
        <v/>
      </c>
    </row>
    <row r="420">
      <c r="A420" s="26" t="n"/>
      <c r="B420" s="27" t="n"/>
      <c r="C420" s="27" t="n"/>
      <c r="D420" s="28" t="n"/>
      <c r="E420" s="28" t="n"/>
      <c r="F420" s="29" t="n"/>
      <c r="G420" s="30" t="n"/>
      <c r="H420" s="20">
        <f>IF(A420="","",TRIM(IF(WEEKDAY(A420,2)&gt;5,"Fin de semana. ","")&amp;IF(SUMIFS($G$2:$G$601,$A$2:$A$601,A420,$D$2:$D$601,D420)&gt;9,"Más de 9 h en el día. ","")&amp;IF(AND(B420&lt;&gt;"",C420&lt;&gt;"",C420&lt;B420),"Cruza la medianoche. ","")&amp;IF(LEN(TRIM(F420))&lt;15,"Sin descripción suficiente. ","")&amp;IF(AND(ISERROR(SEARCH("R-0",F420)),ISERROR(SEARCH("CU-",F420))),"Sin ticket. ","")&amp;IF(ISNA(MATCH(E420,Datos!$E$8:$E$22,0)),"Proyecto sin valor hora. ","")&amp;IF(ISNA(MATCH(D420,Datos!$A$8:$A$22,0)),"Persona fuera del equipo. ","")))</f>
        <v/>
      </c>
      <c r="I420" s="21" t="n"/>
      <c r="J420" s="22" t="n"/>
      <c r="K420" s="23">
        <f>IF(G420="","",IF(J420&lt;&gt;"",MIN(J420,G420),IF(OR(I420="Observada",I420="Rechazada"),0,G420)))</f>
        <v/>
      </c>
      <c r="L420" s="24" t="n"/>
      <c r="M420" s="25">
        <f>IF(OR(A420="",D420=""),0,IF(COUNTIFS($A$2:A420,A420,$D$2:D420,D420)=1,1,0))</f>
        <v/>
      </c>
    </row>
    <row r="421">
      <c r="A421" s="26" t="n"/>
      <c r="B421" s="27" t="n"/>
      <c r="C421" s="27" t="n"/>
      <c r="D421" s="28" t="n"/>
      <c r="E421" s="28" t="n"/>
      <c r="F421" s="29" t="n"/>
      <c r="G421" s="30" t="n"/>
      <c r="H421" s="20">
        <f>IF(A421="","",TRIM(IF(WEEKDAY(A421,2)&gt;5,"Fin de semana. ","")&amp;IF(SUMIFS($G$2:$G$601,$A$2:$A$601,A421,$D$2:$D$601,D421)&gt;9,"Más de 9 h en el día. ","")&amp;IF(AND(B421&lt;&gt;"",C421&lt;&gt;"",C421&lt;B421),"Cruza la medianoche. ","")&amp;IF(LEN(TRIM(F421))&lt;15,"Sin descripción suficiente. ","")&amp;IF(AND(ISERROR(SEARCH("R-0",F421)),ISERROR(SEARCH("CU-",F421))),"Sin ticket. ","")&amp;IF(ISNA(MATCH(E421,Datos!$E$8:$E$22,0)),"Proyecto sin valor hora. ","")&amp;IF(ISNA(MATCH(D421,Datos!$A$8:$A$22,0)),"Persona fuera del equipo. ","")))</f>
        <v/>
      </c>
      <c r="I421" s="21" t="n"/>
      <c r="J421" s="22" t="n"/>
      <c r="K421" s="23">
        <f>IF(G421="","",IF(J421&lt;&gt;"",MIN(J421,G421),IF(OR(I421="Observada",I421="Rechazada"),0,G421)))</f>
        <v/>
      </c>
      <c r="L421" s="24" t="n"/>
      <c r="M421" s="25">
        <f>IF(OR(A421="",D421=""),0,IF(COUNTIFS($A$2:A421,A421,$D$2:D421,D421)=1,1,0))</f>
        <v/>
      </c>
    </row>
    <row r="422">
      <c r="A422" s="26" t="n"/>
      <c r="B422" s="27" t="n"/>
      <c r="C422" s="27" t="n"/>
      <c r="D422" s="28" t="n"/>
      <c r="E422" s="28" t="n"/>
      <c r="F422" s="29" t="n"/>
      <c r="G422" s="30" t="n"/>
      <c r="H422" s="20">
        <f>IF(A422="","",TRIM(IF(WEEKDAY(A422,2)&gt;5,"Fin de semana. ","")&amp;IF(SUMIFS($G$2:$G$601,$A$2:$A$601,A422,$D$2:$D$601,D422)&gt;9,"Más de 9 h en el día. ","")&amp;IF(AND(B422&lt;&gt;"",C422&lt;&gt;"",C422&lt;B422),"Cruza la medianoche. ","")&amp;IF(LEN(TRIM(F422))&lt;15,"Sin descripción suficiente. ","")&amp;IF(AND(ISERROR(SEARCH("R-0",F422)),ISERROR(SEARCH("CU-",F422))),"Sin ticket. ","")&amp;IF(ISNA(MATCH(E422,Datos!$E$8:$E$22,0)),"Proyecto sin valor hora. ","")&amp;IF(ISNA(MATCH(D422,Datos!$A$8:$A$22,0)),"Persona fuera del equipo. ","")))</f>
        <v/>
      </c>
      <c r="I422" s="21" t="n"/>
      <c r="J422" s="22" t="n"/>
      <c r="K422" s="23">
        <f>IF(G422="","",IF(J422&lt;&gt;"",MIN(J422,G422),IF(OR(I422="Observada",I422="Rechazada"),0,G422)))</f>
        <v/>
      </c>
      <c r="L422" s="24" t="n"/>
      <c r="M422" s="25">
        <f>IF(OR(A422="",D422=""),0,IF(COUNTIFS($A$2:A422,A422,$D$2:D422,D422)=1,1,0))</f>
        <v/>
      </c>
    </row>
    <row r="423">
      <c r="A423" s="26" t="n"/>
      <c r="B423" s="27" t="n"/>
      <c r="C423" s="27" t="n"/>
      <c r="D423" s="28" t="n"/>
      <c r="E423" s="28" t="n"/>
      <c r="F423" s="29" t="n"/>
      <c r="G423" s="30" t="n"/>
      <c r="H423" s="20">
        <f>IF(A423="","",TRIM(IF(WEEKDAY(A423,2)&gt;5,"Fin de semana. ","")&amp;IF(SUMIFS($G$2:$G$601,$A$2:$A$601,A423,$D$2:$D$601,D423)&gt;9,"Más de 9 h en el día. ","")&amp;IF(AND(B423&lt;&gt;"",C423&lt;&gt;"",C423&lt;B423),"Cruza la medianoche. ","")&amp;IF(LEN(TRIM(F423))&lt;15,"Sin descripción suficiente. ","")&amp;IF(AND(ISERROR(SEARCH("R-0",F423)),ISERROR(SEARCH("CU-",F423))),"Sin ticket. ","")&amp;IF(ISNA(MATCH(E423,Datos!$E$8:$E$22,0)),"Proyecto sin valor hora. ","")&amp;IF(ISNA(MATCH(D423,Datos!$A$8:$A$22,0)),"Persona fuera del equipo. ","")))</f>
        <v/>
      </c>
      <c r="I423" s="21" t="n"/>
      <c r="J423" s="22" t="n"/>
      <c r="K423" s="23">
        <f>IF(G423="","",IF(J423&lt;&gt;"",MIN(J423,G423),IF(OR(I423="Observada",I423="Rechazada"),0,G423)))</f>
        <v/>
      </c>
      <c r="L423" s="24" t="n"/>
      <c r="M423" s="25">
        <f>IF(OR(A423="",D423=""),0,IF(COUNTIFS($A$2:A423,A423,$D$2:D423,D423)=1,1,0))</f>
        <v/>
      </c>
    </row>
    <row r="424">
      <c r="A424" s="26" t="n"/>
      <c r="B424" s="27" t="n"/>
      <c r="C424" s="27" t="n"/>
      <c r="D424" s="28" t="n"/>
      <c r="E424" s="28" t="n"/>
      <c r="F424" s="29" t="n"/>
      <c r="G424" s="30" t="n"/>
      <c r="H424" s="20">
        <f>IF(A424="","",TRIM(IF(WEEKDAY(A424,2)&gt;5,"Fin de semana. ","")&amp;IF(SUMIFS($G$2:$G$601,$A$2:$A$601,A424,$D$2:$D$601,D424)&gt;9,"Más de 9 h en el día. ","")&amp;IF(AND(B424&lt;&gt;"",C424&lt;&gt;"",C424&lt;B424),"Cruza la medianoche. ","")&amp;IF(LEN(TRIM(F424))&lt;15,"Sin descripción suficiente. ","")&amp;IF(AND(ISERROR(SEARCH("R-0",F424)),ISERROR(SEARCH("CU-",F424))),"Sin ticket. ","")&amp;IF(ISNA(MATCH(E424,Datos!$E$8:$E$22,0)),"Proyecto sin valor hora. ","")&amp;IF(ISNA(MATCH(D424,Datos!$A$8:$A$22,0)),"Persona fuera del equipo. ","")))</f>
        <v/>
      </c>
      <c r="I424" s="21" t="n"/>
      <c r="J424" s="22" t="n"/>
      <c r="K424" s="23">
        <f>IF(G424="","",IF(J424&lt;&gt;"",MIN(J424,G424),IF(OR(I424="Observada",I424="Rechazada"),0,G424)))</f>
        <v/>
      </c>
      <c r="L424" s="24" t="n"/>
      <c r="M424" s="25">
        <f>IF(OR(A424="",D424=""),0,IF(COUNTIFS($A$2:A424,A424,$D$2:D424,D424)=1,1,0))</f>
        <v/>
      </c>
    </row>
    <row r="425">
      <c r="A425" s="26" t="n"/>
      <c r="B425" s="27" t="n"/>
      <c r="C425" s="27" t="n"/>
      <c r="D425" s="28" t="n"/>
      <c r="E425" s="28" t="n"/>
      <c r="F425" s="29" t="n"/>
      <c r="G425" s="30" t="n"/>
      <c r="H425" s="20">
        <f>IF(A425="","",TRIM(IF(WEEKDAY(A425,2)&gt;5,"Fin de semana. ","")&amp;IF(SUMIFS($G$2:$G$601,$A$2:$A$601,A425,$D$2:$D$601,D425)&gt;9,"Más de 9 h en el día. ","")&amp;IF(AND(B425&lt;&gt;"",C425&lt;&gt;"",C425&lt;B425),"Cruza la medianoche. ","")&amp;IF(LEN(TRIM(F425))&lt;15,"Sin descripción suficiente. ","")&amp;IF(AND(ISERROR(SEARCH("R-0",F425)),ISERROR(SEARCH("CU-",F425))),"Sin ticket. ","")&amp;IF(ISNA(MATCH(E425,Datos!$E$8:$E$22,0)),"Proyecto sin valor hora. ","")&amp;IF(ISNA(MATCH(D425,Datos!$A$8:$A$22,0)),"Persona fuera del equipo. ","")))</f>
        <v/>
      </c>
      <c r="I425" s="21" t="n"/>
      <c r="J425" s="22" t="n"/>
      <c r="K425" s="23">
        <f>IF(G425="","",IF(J425&lt;&gt;"",MIN(J425,G425),IF(OR(I425="Observada",I425="Rechazada"),0,G425)))</f>
        <v/>
      </c>
      <c r="L425" s="24" t="n"/>
      <c r="M425" s="25">
        <f>IF(OR(A425="",D425=""),0,IF(COUNTIFS($A$2:A425,A425,$D$2:D425,D425)=1,1,0))</f>
        <v/>
      </c>
    </row>
    <row r="426">
      <c r="A426" s="26" t="n"/>
      <c r="B426" s="27" t="n"/>
      <c r="C426" s="27" t="n"/>
      <c r="D426" s="28" t="n"/>
      <c r="E426" s="28" t="n"/>
      <c r="F426" s="29" t="n"/>
      <c r="G426" s="30" t="n"/>
      <c r="H426" s="20">
        <f>IF(A426="","",TRIM(IF(WEEKDAY(A426,2)&gt;5,"Fin de semana. ","")&amp;IF(SUMIFS($G$2:$G$601,$A$2:$A$601,A426,$D$2:$D$601,D426)&gt;9,"Más de 9 h en el día. ","")&amp;IF(AND(B426&lt;&gt;"",C426&lt;&gt;"",C426&lt;B426),"Cruza la medianoche. ","")&amp;IF(LEN(TRIM(F426))&lt;15,"Sin descripción suficiente. ","")&amp;IF(AND(ISERROR(SEARCH("R-0",F426)),ISERROR(SEARCH("CU-",F426))),"Sin ticket. ","")&amp;IF(ISNA(MATCH(E426,Datos!$E$8:$E$22,0)),"Proyecto sin valor hora. ","")&amp;IF(ISNA(MATCH(D426,Datos!$A$8:$A$22,0)),"Persona fuera del equipo. ","")))</f>
        <v/>
      </c>
      <c r="I426" s="21" t="n"/>
      <c r="J426" s="22" t="n"/>
      <c r="K426" s="23">
        <f>IF(G426="","",IF(J426&lt;&gt;"",MIN(J426,G426),IF(OR(I426="Observada",I426="Rechazada"),0,G426)))</f>
        <v/>
      </c>
      <c r="L426" s="24" t="n"/>
      <c r="M426" s="25">
        <f>IF(OR(A426="",D426=""),0,IF(COUNTIFS($A$2:A426,A426,$D$2:D426,D426)=1,1,0))</f>
        <v/>
      </c>
    </row>
    <row r="427">
      <c r="A427" s="26" t="n"/>
      <c r="B427" s="27" t="n"/>
      <c r="C427" s="27" t="n"/>
      <c r="D427" s="28" t="n"/>
      <c r="E427" s="28" t="n"/>
      <c r="F427" s="29" t="n"/>
      <c r="G427" s="30" t="n"/>
      <c r="H427" s="20">
        <f>IF(A427="","",TRIM(IF(WEEKDAY(A427,2)&gt;5,"Fin de semana. ","")&amp;IF(SUMIFS($G$2:$G$601,$A$2:$A$601,A427,$D$2:$D$601,D427)&gt;9,"Más de 9 h en el día. ","")&amp;IF(AND(B427&lt;&gt;"",C427&lt;&gt;"",C427&lt;B427),"Cruza la medianoche. ","")&amp;IF(LEN(TRIM(F427))&lt;15,"Sin descripción suficiente. ","")&amp;IF(AND(ISERROR(SEARCH("R-0",F427)),ISERROR(SEARCH("CU-",F427))),"Sin ticket. ","")&amp;IF(ISNA(MATCH(E427,Datos!$E$8:$E$22,0)),"Proyecto sin valor hora. ","")&amp;IF(ISNA(MATCH(D427,Datos!$A$8:$A$22,0)),"Persona fuera del equipo. ","")))</f>
        <v/>
      </c>
      <c r="I427" s="21" t="n"/>
      <c r="J427" s="22" t="n"/>
      <c r="K427" s="23">
        <f>IF(G427="","",IF(J427&lt;&gt;"",MIN(J427,G427),IF(OR(I427="Observada",I427="Rechazada"),0,G427)))</f>
        <v/>
      </c>
      <c r="L427" s="24" t="n"/>
      <c r="M427" s="25">
        <f>IF(OR(A427="",D427=""),0,IF(COUNTIFS($A$2:A427,A427,$D$2:D427,D427)=1,1,0))</f>
        <v/>
      </c>
    </row>
    <row r="428">
      <c r="A428" s="26" t="n"/>
      <c r="B428" s="27" t="n"/>
      <c r="C428" s="27" t="n"/>
      <c r="D428" s="28" t="n"/>
      <c r="E428" s="28" t="n"/>
      <c r="F428" s="29" t="n"/>
      <c r="G428" s="30" t="n"/>
      <c r="H428" s="20">
        <f>IF(A428="","",TRIM(IF(WEEKDAY(A428,2)&gt;5,"Fin de semana. ","")&amp;IF(SUMIFS($G$2:$G$601,$A$2:$A$601,A428,$D$2:$D$601,D428)&gt;9,"Más de 9 h en el día. ","")&amp;IF(AND(B428&lt;&gt;"",C428&lt;&gt;"",C428&lt;B428),"Cruza la medianoche. ","")&amp;IF(LEN(TRIM(F428))&lt;15,"Sin descripción suficiente. ","")&amp;IF(AND(ISERROR(SEARCH("R-0",F428)),ISERROR(SEARCH("CU-",F428))),"Sin ticket. ","")&amp;IF(ISNA(MATCH(E428,Datos!$E$8:$E$22,0)),"Proyecto sin valor hora. ","")&amp;IF(ISNA(MATCH(D428,Datos!$A$8:$A$22,0)),"Persona fuera del equipo. ","")))</f>
        <v/>
      </c>
      <c r="I428" s="21" t="n"/>
      <c r="J428" s="22" t="n"/>
      <c r="K428" s="23">
        <f>IF(G428="","",IF(J428&lt;&gt;"",MIN(J428,G428),IF(OR(I428="Observada",I428="Rechazada"),0,G428)))</f>
        <v/>
      </c>
      <c r="L428" s="24" t="n"/>
      <c r="M428" s="25">
        <f>IF(OR(A428="",D428=""),0,IF(COUNTIFS($A$2:A428,A428,$D$2:D428,D428)=1,1,0))</f>
        <v/>
      </c>
    </row>
    <row r="429">
      <c r="A429" s="26" t="n"/>
      <c r="B429" s="27" t="n"/>
      <c r="C429" s="27" t="n"/>
      <c r="D429" s="28" t="n"/>
      <c r="E429" s="28" t="n"/>
      <c r="F429" s="29" t="n"/>
      <c r="G429" s="30" t="n"/>
      <c r="H429" s="20">
        <f>IF(A429="","",TRIM(IF(WEEKDAY(A429,2)&gt;5,"Fin de semana. ","")&amp;IF(SUMIFS($G$2:$G$601,$A$2:$A$601,A429,$D$2:$D$601,D429)&gt;9,"Más de 9 h en el día. ","")&amp;IF(AND(B429&lt;&gt;"",C429&lt;&gt;"",C429&lt;B429),"Cruza la medianoche. ","")&amp;IF(LEN(TRIM(F429))&lt;15,"Sin descripción suficiente. ","")&amp;IF(AND(ISERROR(SEARCH("R-0",F429)),ISERROR(SEARCH("CU-",F429))),"Sin ticket. ","")&amp;IF(ISNA(MATCH(E429,Datos!$E$8:$E$22,0)),"Proyecto sin valor hora. ","")&amp;IF(ISNA(MATCH(D429,Datos!$A$8:$A$22,0)),"Persona fuera del equipo. ","")))</f>
        <v/>
      </c>
      <c r="I429" s="21" t="n"/>
      <c r="J429" s="22" t="n"/>
      <c r="K429" s="23">
        <f>IF(G429="","",IF(J429&lt;&gt;"",MIN(J429,G429),IF(OR(I429="Observada",I429="Rechazada"),0,G429)))</f>
        <v/>
      </c>
      <c r="L429" s="24" t="n"/>
      <c r="M429" s="25">
        <f>IF(OR(A429="",D429=""),0,IF(COUNTIFS($A$2:A429,A429,$D$2:D429,D429)=1,1,0))</f>
        <v/>
      </c>
    </row>
    <row r="430">
      <c r="A430" s="26" t="n"/>
      <c r="B430" s="27" t="n"/>
      <c r="C430" s="27" t="n"/>
      <c r="D430" s="28" t="n"/>
      <c r="E430" s="28" t="n"/>
      <c r="F430" s="29" t="n"/>
      <c r="G430" s="30" t="n"/>
      <c r="H430" s="20">
        <f>IF(A430="","",TRIM(IF(WEEKDAY(A430,2)&gt;5,"Fin de semana. ","")&amp;IF(SUMIFS($G$2:$G$601,$A$2:$A$601,A430,$D$2:$D$601,D430)&gt;9,"Más de 9 h en el día. ","")&amp;IF(AND(B430&lt;&gt;"",C430&lt;&gt;"",C430&lt;B430),"Cruza la medianoche. ","")&amp;IF(LEN(TRIM(F430))&lt;15,"Sin descripción suficiente. ","")&amp;IF(AND(ISERROR(SEARCH("R-0",F430)),ISERROR(SEARCH("CU-",F430))),"Sin ticket. ","")&amp;IF(ISNA(MATCH(E430,Datos!$E$8:$E$22,0)),"Proyecto sin valor hora. ","")&amp;IF(ISNA(MATCH(D430,Datos!$A$8:$A$22,0)),"Persona fuera del equipo. ","")))</f>
        <v/>
      </c>
      <c r="I430" s="21" t="n"/>
      <c r="J430" s="22" t="n"/>
      <c r="K430" s="23">
        <f>IF(G430="","",IF(J430&lt;&gt;"",MIN(J430,G430),IF(OR(I430="Observada",I430="Rechazada"),0,G430)))</f>
        <v/>
      </c>
      <c r="L430" s="24" t="n"/>
      <c r="M430" s="25">
        <f>IF(OR(A430="",D430=""),0,IF(COUNTIFS($A$2:A430,A430,$D$2:D430,D430)=1,1,0))</f>
        <v/>
      </c>
    </row>
    <row r="431">
      <c r="A431" s="26" t="n"/>
      <c r="B431" s="27" t="n"/>
      <c r="C431" s="27" t="n"/>
      <c r="D431" s="28" t="n"/>
      <c r="E431" s="28" t="n"/>
      <c r="F431" s="29" t="n"/>
      <c r="G431" s="30" t="n"/>
      <c r="H431" s="20">
        <f>IF(A431="","",TRIM(IF(WEEKDAY(A431,2)&gt;5,"Fin de semana. ","")&amp;IF(SUMIFS($G$2:$G$601,$A$2:$A$601,A431,$D$2:$D$601,D431)&gt;9,"Más de 9 h en el día. ","")&amp;IF(AND(B431&lt;&gt;"",C431&lt;&gt;"",C431&lt;B431),"Cruza la medianoche. ","")&amp;IF(LEN(TRIM(F431))&lt;15,"Sin descripción suficiente. ","")&amp;IF(AND(ISERROR(SEARCH("R-0",F431)),ISERROR(SEARCH("CU-",F431))),"Sin ticket. ","")&amp;IF(ISNA(MATCH(E431,Datos!$E$8:$E$22,0)),"Proyecto sin valor hora. ","")&amp;IF(ISNA(MATCH(D431,Datos!$A$8:$A$22,0)),"Persona fuera del equipo. ","")))</f>
        <v/>
      </c>
      <c r="I431" s="21" t="n"/>
      <c r="J431" s="22" t="n"/>
      <c r="K431" s="23">
        <f>IF(G431="","",IF(J431&lt;&gt;"",MIN(J431,G431),IF(OR(I431="Observada",I431="Rechazada"),0,G431)))</f>
        <v/>
      </c>
      <c r="L431" s="24" t="n"/>
      <c r="M431" s="25">
        <f>IF(OR(A431="",D431=""),0,IF(COUNTIFS($A$2:A431,A431,$D$2:D431,D431)=1,1,0))</f>
        <v/>
      </c>
    </row>
    <row r="432">
      <c r="A432" s="26" t="n"/>
      <c r="B432" s="27" t="n"/>
      <c r="C432" s="27" t="n"/>
      <c r="D432" s="28" t="n"/>
      <c r="E432" s="28" t="n"/>
      <c r="F432" s="29" t="n"/>
      <c r="G432" s="30" t="n"/>
      <c r="H432" s="20">
        <f>IF(A432="","",TRIM(IF(WEEKDAY(A432,2)&gt;5,"Fin de semana. ","")&amp;IF(SUMIFS($G$2:$G$601,$A$2:$A$601,A432,$D$2:$D$601,D432)&gt;9,"Más de 9 h en el día. ","")&amp;IF(AND(B432&lt;&gt;"",C432&lt;&gt;"",C432&lt;B432),"Cruza la medianoche. ","")&amp;IF(LEN(TRIM(F432))&lt;15,"Sin descripción suficiente. ","")&amp;IF(AND(ISERROR(SEARCH("R-0",F432)),ISERROR(SEARCH("CU-",F432))),"Sin ticket. ","")&amp;IF(ISNA(MATCH(E432,Datos!$E$8:$E$22,0)),"Proyecto sin valor hora. ","")&amp;IF(ISNA(MATCH(D432,Datos!$A$8:$A$22,0)),"Persona fuera del equipo. ","")))</f>
        <v/>
      </c>
      <c r="I432" s="21" t="n"/>
      <c r="J432" s="22" t="n"/>
      <c r="K432" s="23">
        <f>IF(G432="","",IF(J432&lt;&gt;"",MIN(J432,G432),IF(OR(I432="Observada",I432="Rechazada"),0,G432)))</f>
        <v/>
      </c>
      <c r="L432" s="24" t="n"/>
      <c r="M432" s="25">
        <f>IF(OR(A432="",D432=""),0,IF(COUNTIFS($A$2:A432,A432,$D$2:D432,D432)=1,1,0))</f>
        <v/>
      </c>
    </row>
    <row r="433">
      <c r="A433" s="26" t="n"/>
      <c r="B433" s="27" t="n"/>
      <c r="C433" s="27" t="n"/>
      <c r="D433" s="28" t="n"/>
      <c r="E433" s="28" t="n"/>
      <c r="F433" s="29" t="n"/>
      <c r="G433" s="30" t="n"/>
      <c r="H433" s="20">
        <f>IF(A433="","",TRIM(IF(WEEKDAY(A433,2)&gt;5,"Fin de semana. ","")&amp;IF(SUMIFS($G$2:$G$601,$A$2:$A$601,A433,$D$2:$D$601,D433)&gt;9,"Más de 9 h en el día. ","")&amp;IF(AND(B433&lt;&gt;"",C433&lt;&gt;"",C433&lt;B433),"Cruza la medianoche. ","")&amp;IF(LEN(TRIM(F433))&lt;15,"Sin descripción suficiente. ","")&amp;IF(AND(ISERROR(SEARCH("R-0",F433)),ISERROR(SEARCH("CU-",F433))),"Sin ticket. ","")&amp;IF(ISNA(MATCH(E433,Datos!$E$8:$E$22,0)),"Proyecto sin valor hora. ","")&amp;IF(ISNA(MATCH(D433,Datos!$A$8:$A$22,0)),"Persona fuera del equipo. ","")))</f>
        <v/>
      </c>
      <c r="I433" s="21" t="n"/>
      <c r="J433" s="22" t="n"/>
      <c r="K433" s="23">
        <f>IF(G433="","",IF(J433&lt;&gt;"",MIN(J433,G433),IF(OR(I433="Observada",I433="Rechazada"),0,G433)))</f>
        <v/>
      </c>
      <c r="L433" s="24" t="n"/>
      <c r="M433" s="25">
        <f>IF(OR(A433="",D433=""),0,IF(COUNTIFS($A$2:A433,A433,$D$2:D433,D433)=1,1,0))</f>
        <v/>
      </c>
    </row>
    <row r="434">
      <c r="A434" s="26" t="n"/>
      <c r="B434" s="27" t="n"/>
      <c r="C434" s="27" t="n"/>
      <c r="D434" s="28" t="n"/>
      <c r="E434" s="28" t="n"/>
      <c r="F434" s="29" t="n"/>
      <c r="G434" s="30" t="n"/>
      <c r="H434" s="20">
        <f>IF(A434="","",TRIM(IF(WEEKDAY(A434,2)&gt;5,"Fin de semana. ","")&amp;IF(SUMIFS($G$2:$G$601,$A$2:$A$601,A434,$D$2:$D$601,D434)&gt;9,"Más de 9 h en el día. ","")&amp;IF(AND(B434&lt;&gt;"",C434&lt;&gt;"",C434&lt;B434),"Cruza la medianoche. ","")&amp;IF(LEN(TRIM(F434))&lt;15,"Sin descripción suficiente. ","")&amp;IF(AND(ISERROR(SEARCH("R-0",F434)),ISERROR(SEARCH("CU-",F434))),"Sin ticket. ","")&amp;IF(ISNA(MATCH(E434,Datos!$E$8:$E$22,0)),"Proyecto sin valor hora. ","")&amp;IF(ISNA(MATCH(D434,Datos!$A$8:$A$22,0)),"Persona fuera del equipo. ","")))</f>
        <v/>
      </c>
      <c r="I434" s="21" t="n"/>
      <c r="J434" s="22" t="n"/>
      <c r="K434" s="23">
        <f>IF(G434="","",IF(J434&lt;&gt;"",MIN(J434,G434),IF(OR(I434="Observada",I434="Rechazada"),0,G434)))</f>
        <v/>
      </c>
      <c r="L434" s="24" t="n"/>
      <c r="M434" s="25">
        <f>IF(OR(A434="",D434=""),0,IF(COUNTIFS($A$2:A434,A434,$D$2:D434,D434)=1,1,0))</f>
        <v/>
      </c>
    </row>
    <row r="435">
      <c r="A435" s="26" t="n"/>
      <c r="B435" s="27" t="n"/>
      <c r="C435" s="27" t="n"/>
      <c r="D435" s="28" t="n"/>
      <c r="E435" s="28" t="n"/>
      <c r="F435" s="29" t="n"/>
      <c r="G435" s="30" t="n"/>
      <c r="H435" s="20">
        <f>IF(A435="","",TRIM(IF(WEEKDAY(A435,2)&gt;5,"Fin de semana. ","")&amp;IF(SUMIFS($G$2:$G$601,$A$2:$A$601,A435,$D$2:$D$601,D435)&gt;9,"Más de 9 h en el día. ","")&amp;IF(AND(B435&lt;&gt;"",C435&lt;&gt;"",C435&lt;B435),"Cruza la medianoche. ","")&amp;IF(LEN(TRIM(F435))&lt;15,"Sin descripción suficiente. ","")&amp;IF(AND(ISERROR(SEARCH("R-0",F435)),ISERROR(SEARCH("CU-",F435))),"Sin ticket. ","")&amp;IF(ISNA(MATCH(E435,Datos!$E$8:$E$22,0)),"Proyecto sin valor hora. ","")&amp;IF(ISNA(MATCH(D435,Datos!$A$8:$A$22,0)),"Persona fuera del equipo. ","")))</f>
        <v/>
      </c>
      <c r="I435" s="21" t="n"/>
      <c r="J435" s="22" t="n"/>
      <c r="K435" s="23">
        <f>IF(G435="","",IF(J435&lt;&gt;"",MIN(J435,G435),IF(OR(I435="Observada",I435="Rechazada"),0,G435)))</f>
        <v/>
      </c>
      <c r="L435" s="24" t="n"/>
      <c r="M435" s="25">
        <f>IF(OR(A435="",D435=""),0,IF(COUNTIFS($A$2:A435,A435,$D$2:D435,D435)=1,1,0))</f>
        <v/>
      </c>
    </row>
    <row r="436">
      <c r="A436" s="26" t="n"/>
      <c r="B436" s="27" t="n"/>
      <c r="C436" s="27" t="n"/>
      <c r="D436" s="28" t="n"/>
      <c r="E436" s="28" t="n"/>
      <c r="F436" s="29" t="n"/>
      <c r="G436" s="30" t="n"/>
      <c r="H436" s="20">
        <f>IF(A436="","",TRIM(IF(WEEKDAY(A436,2)&gt;5,"Fin de semana. ","")&amp;IF(SUMIFS($G$2:$G$601,$A$2:$A$601,A436,$D$2:$D$601,D436)&gt;9,"Más de 9 h en el día. ","")&amp;IF(AND(B436&lt;&gt;"",C436&lt;&gt;"",C436&lt;B436),"Cruza la medianoche. ","")&amp;IF(LEN(TRIM(F436))&lt;15,"Sin descripción suficiente. ","")&amp;IF(AND(ISERROR(SEARCH("R-0",F436)),ISERROR(SEARCH("CU-",F436))),"Sin ticket. ","")&amp;IF(ISNA(MATCH(E436,Datos!$E$8:$E$22,0)),"Proyecto sin valor hora. ","")&amp;IF(ISNA(MATCH(D436,Datos!$A$8:$A$22,0)),"Persona fuera del equipo. ","")))</f>
        <v/>
      </c>
      <c r="I436" s="21" t="n"/>
      <c r="J436" s="22" t="n"/>
      <c r="K436" s="23">
        <f>IF(G436="","",IF(J436&lt;&gt;"",MIN(J436,G436),IF(OR(I436="Observada",I436="Rechazada"),0,G436)))</f>
        <v/>
      </c>
      <c r="L436" s="24" t="n"/>
      <c r="M436" s="25">
        <f>IF(OR(A436="",D436=""),0,IF(COUNTIFS($A$2:A436,A436,$D$2:D436,D436)=1,1,0))</f>
        <v/>
      </c>
    </row>
    <row r="437">
      <c r="A437" s="26" t="n"/>
      <c r="B437" s="27" t="n"/>
      <c r="C437" s="27" t="n"/>
      <c r="D437" s="28" t="n"/>
      <c r="E437" s="28" t="n"/>
      <c r="F437" s="29" t="n"/>
      <c r="G437" s="30" t="n"/>
      <c r="H437" s="20">
        <f>IF(A437="","",TRIM(IF(WEEKDAY(A437,2)&gt;5,"Fin de semana. ","")&amp;IF(SUMIFS($G$2:$G$601,$A$2:$A$601,A437,$D$2:$D$601,D437)&gt;9,"Más de 9 h en el día. ","")&amp;IF(AND(B437&lt;&gt;"",C437&lt;&gt;"",C437&lt;B437),"Cruza la medianoche. ","")&amp;IF(LEN(TRIM(F437))&lt;15,"Sin descripción suficiente. ","")&amp;IF(AND(ISERROR(SEARCH("R-0",F437)),ISERROR(SEARCH("CU-",F437))),"Sin ticket. ","")&amp;IF(ISNA(MATCH(E437,Datos!$E$8:$E$22,0)),"Proyecto sin valor hora. ","")&amp;IF(ISNA(MATCH(D437,Datos!$A$8:$A$22,0)),"Persona fuera del equipo. ","")))</f>
        <v/>
      </c>
      <c r="I437" s="21" t="n"/>
      <c r="J437" s="22" t="n"/>
      <c r="K437" s="23">
        <f>IF(G437="","",IF(J437&lt;&gt;"",MIN(J437,G437),IF(OR(I437="Observada",I437="Rechazada"),0,G437)))</f>
        <v/>
      </c>
      <c r="L437" s="24" t="n"/>
      <c r="M437" s="25">
        <f>IF(OR(A437="",D437=""),0,IF(COUNTIFS($A$2:A437,A437,$D$2:D437,D437)=1,1,0))</f>
        <v/>
      </c>
    </row>
    <row r="438">
      <c r="A438" s="26" t="n"/>
      <c r="B438" s="27" t="n"/>
      <c r="C438" s="27" t="n"/>
      <c r="D438" s="28" t="n"/>
      <c r="E438" s="28" t="n"/>
      <c r="F438" s="29" t="n"/>
      <c r="G438" s="30" t="n"/>
      <c r="H438" s="20">
        <f>IF(A438="","",TRIM(IF(WEEKDAY(A438,2)&gt;5,"Fin de semana. ","")&amp;IF(SUMIFS($G$2:$G$601,$A$2:$A$601,A438,$D$2:$D$601,D438)&gt;9,"Más de 9 h en el día. ","")&amp;IF(AND(B438&lt;&gt;"",C438&lt;&gt;"",C438&lt;B438),"Cruza la medianoche. ","")&amp;IF(LEN(TRIM(F438))&lt;15,"Sin descripción suficiente. ","")&amp;IF(AND(ISERROR(SEARCH("R-0",F438)),ISERROR(SEARCH("CU-",F438))),"Sin ticket. ","")&amp;IF(ISNA(MATCH(E438,Datos!$E$8:$E$22,0)),"Proyecto sin valor hora. ","")&amp;IF(ISNA(MATCH(D438,Datos!$A$8:$A$22,0)),"Persona fuera del equipo. ","")))</f>
        <v/>
      </c>
      <c r="I438" s="21" t="n"/>
      <c r="J438" s="22" t="n"/>
      <c r="K438" s="23">
        <f>IF(G438="","",IF(J438&lt;&gt;"",MIN(J438,G438),IF(OR(I438="Observada",I438="Rechazada"),0,G438)))</f>
        <v/>
      </c>
      <c r="L438" s="24" t="n"/>
      <c r="M438" s="25">
        <f>IF(OR(A438="",D438=""),0,IF(COUNTIFS($A$2:A438,A438,$D$2:D438,D438)=1,1,0))</f>
        <v/>
      </c>
    </row>
    <row r="439">
      <c r="A439" s="26" t="n"/>
      <c r="B439" s="27" t="n"/>
      <c r="C439" s="27" t="n"/>
      <c r="D439" s="28" t="n"/>
      <c r="E439" s="28" t="n"/>
      <c r="F439" s="29" t="n"/>
      <c r="G439" s="30" t="n"/>
      <c r="H439" s="20">
        <f>IF(A439="","",TRIM(IF(WEEKDAY(A439,2)&gt;5,"Fin de semana. ","")&amp;IF(SUMIFS($G$2:$G$601,$A$2:$A$601,A439,$D$2:$D$601,D439)&gt;9,"Más de 9 h en el día. ","")&amp;IF(AND(B439&lt;&gt;"",C439&lt;&gt;"",C439&lt;B439),"Cruza la medianoche. ","")&amp;IF(LEN(TRIM(F439))&lt;15,"Sin descripción suficiente. ","")&amp;IF(AND(ISERROR(SEARCH("R-0",F439)),ISERROR(SEARCH("CU-",F439))),"Sin ticket. ","")&amp;IF(ISNA(MATCH(E439,Datos!$E$8:$E$22,0)),"Proyecto sin valor hora. ","")&amp;IF(ISNA(MATCH(D439,Datos!$A$8:$A$22,0)),"Persona fuera del equipo. ","")))</f>
        <v/>
      </c>
      <c r="I439" s="21" t="n"/>
      <c r="J439" s="22" t="n"/>
      <c r="K439" s="23">
        <f>IF(G439="","",IF(J439&lt;&gt;"",MIN(J439,G439),IF(OR(I439="Observada",I439="Rechazada"),0,G439)))</f>
        <v/>
      </c>
      <c r="L439" s="24" t="n"/>
      <c r="M439" s="25">
        <f>IF(OR(A439="",D439=""),0,IF(COUNTIFS($A$2:A439,A439,$D$2:D439,D439)=1,1,0))</f>
        <v/>
      </c>
    </row>
    <row r="440">
      <c r="A440" s="26" t="n"/>
      <c r="B440" s="27" t="n"/>
      <c r="C440" s="27" t="n"/>
      <c r="D440" s="28" t="n"/>
      <c r="E440" s="28" t="n"/>
      <c r="F440" s="29" t="n"/>
      <c r="G440" s="30" t="n"/>
      <c r="H440" s="20">
        <f>IF(A440="","",TRIM(IF(WEEKDAY(A440,2)&gt;5,"Fin de semana. ","")&amp;IF(SUMIFS($G$2:$G$601,$A$2:$A$601,A440,$D$2:$D$601,D440)&gt;9,"Más de 9 h en el día. ","")&amp;IF(AND(B440&lt;&gt;"",C440&lt;&gt;"",C440&lt;B440),"Cruza la medianoche. ","")&amp;IF(LEN(TRIM(F440))&lt;15,"Sin descripción suficiente. ","")&amp;IF(AND(ISERROR(SEARCH("R-0",F440)),ISERROR(SEARCH("CU-",F440))),"Sin ticket. ","")&amp;IF(ISNA(MATCH(E440,Datos!$E$8:$E$22,0)),"Proyecto sin valor hora. ","")&amp;IF(ISNA(MATCH(D440,Datos!$A$8:$A$22,0)),"Persona fuera del equipo. ","")))</f>
        <v/>
      </c>
      <c r="I440" s="21" t="n"/>
      <c r="J440" s="22" t="n"/>
      <c r="K440" s="23">
        <f>IF(G440="","",IF(J440&lt;&gt;"",MIN(J440,G440),IF(OR(I440="Observada",I440="Rechazada"),0,G440)))</f>
        <v/>
      </c>
      <c r="L440" s="24" t="n"/>
      <c r="M440" s="25">
        <f>IF(OR(A440="",D440=""),0,IF(COUNTIFS($A$2:A440,A440,$D$2:D440,D440)=1,1,0))</f>
        <v/>
      </c>
    </row>
    <row r="441">
      <c r="A441" s="26" t="n"/>
      <c r="B441" s="27" t="n"/>
      <c r="C441" s="27" t="n"/>
      <c r="D441" s="28" t="n"/>
      <c r="E441" s="28" t="n"/>
      <c r="F441" s="29" t="n"/>
      <c r="G441" s="30" t="n"/>
      <c r="H441" s="20">
        <f>IF(A441="","",TRIM(IF(WEEKDAY(A441,2)&gt;5,"Fin de semana. ","")&amp;IF(SUMIFS($G$2:$G$601,$A$2:$A$601,A441,$D$2:$D$601,D441)&gt;9,"Más de 9 h en el día. ","")&amp;IF(AND(B441&lt;&gt;"",C441&lt;&gt;"",C441&lt;B441),"Cruza la medianoche. ","")&amp;IF(LEN(TRIM(F441))&lt;15,"Sin descripción suficiente. ","")&amp;IF(AND(ISERROR(SEARCH("R-0",F441)),ISERROR(SEARCH("CU-",F441))),"Sin ticket. ","")&amp;IF(ISNA(MATCH(E441,Datos!$E$8:$E$22,0)),"Proyecto sin valor hora. ","")&amp;IF(ISNA(MATCH(D441,Datos!$A$8:$A$22,0)),"Persona fuera del equipo. ","")))</f>
        <v/>
      </c>
      <c r="I441" s="21" t="n"/>
      <c r="J441" s="22" t="n"/>
      <c r="K441" s="23">
        <f>IF(G441="","",IF(J441&lt;&gt;"",MIN(J441,G441),IF(OR(I441="Observada",I441="Rechazada"),0,G441)))</f>
        <v/>
      </c>
      <c r="L441" s="24" t="n"/>
      <c r="M441" s="25">
        <f>IF(OR(A441="",D441=""),0,IF(COUNTIFS($A$2:A441,A441,$D$2:D441,D441)=1,1,0))</f>
        <v/>
      </c>
    </row>
    <row r="442">
      <c r="A442" s="26" t="n"/>
      <c r="B442" s="27" t="n"/>
      <c r="C442" s="27" t="n"/>
      <c r="D442" s="28" t="n"/>
      <c r="E442" s="28" t="n"/>
      <c r="F442" s="29" t="n"/>
      <c r="G442" s="30" t="n"/>
      <c r="H442" s="20">
        <f>IF(A442="","",TRIM(IF(WEEKDAY(A442,2)&gt;5,"Fin de semana. ","")&amp;IF(SUMIFS($G$2:$G$601,$A$2:$A$601,A442,$D$2:$D$601,D442)&gt;9,"Más de 9 h en el día. ","")&amp;IF(AND(B442&lt;&gt;"",C442&lt;&gt;"",C442&lt;B442),"Cruza la medianoche. ","")&amp;IF(LEN(TRIM(F442))&lt;15,"Sin descripción suficiente. ","")&amp;IF(AND(ISERROR(SEARCH("R-0",F442)),ISERROR(SEARCH("CU-",F442))),"Sin ticket. ","")&amp;IF(ISNA(MATCH(E442,Datos!$E$8:$E$22,0)),"Proyecto sin valor hora. ","")&amp;IF(ISNA(MATCH(D442,Datos!$A$8:$A$22,0)),"Persona fuera del equipo. ","")))</f>
        <v/>
      </c>
      <c r="I442" s="21" t="n"/>
      <c r="J442" s="22" t="n"/>
      <c r="K442" s="23">
        <f>IF(G442="","",IF(J442&lt;&gt;"",MIN(J442,G442),IF(OR(I442="Observada",I442="Rechazada"),0,G442)))</f>
        <v/>
      </c>
      <c r="L442" s="24" t="n"/>
      <c r="M442" s="25">
        <f>IF(OR(A442="",D442=""),0,IF(COUNTIFS($A$2:A442,A442,$D$2:D442,D442)=1,1,0))</f>
        <v/>
      </c>
    </row>
    <row r="443">
      <c r="A443" s="26" t="n"/>
      <c r="B443" s="27" t="n"/>
      <c r="C443" s="27" t="n"/>
      <c r="D443" s="28" t="n"/>
      <c r="E443" s="28" t="n"/>
      <c r="F443" s="29" t="n"/>
      <c r="G443" s="30" t="n"/>
      <c r="H443" s="20">
        <f>IF(A443="","",TRIM(IF(WEEKDAY(A443,2)&gt;5,"Fin de semana. ","")&amp;IF(SUMIFS($G$2:$G$601,$A$2:$A$601,A443,$D$2:$D$601,D443)&gt;9,"Más de 9 h en el día. ","")&amp;IF(AND(B443&lt;&gt;"",C443&lt;&gt;"",C443&lt;B443),"Cruza la medianoche. ","")&amp;IF(LEN(TRIM(F443))&lt;15,"Sin descripción suficiente. ","")&amp;IF(AND(ISERROR(SEARCH("R-0",F443)),ISERROR(SEARCH("CU-",F443))),"Sin ticket. ","")&amp;IF(ISNA(MATCH(E443,Datos!$E$8:$E$22,0)),"Proyecto sin valor hora. ","")&amp;IF(ISNA(MATCH(D443,Datos!$A$8:$A$22,0)),"Persona fuera del equipo. ","")))</f>
        <v/>
      </c>
      <c r="I443" s="21" t="n"/>
      <c r="J443" s="22" t="n"/>
      <c r="K443" s="23">
        <f>IF(G443="","",IF(J443&lt;&gt;"",MIN(J443,G443),IF(OR(I443="Observada",I443="Rechazada"),0,G443)))</f>
        <v/>
      </c>
      <c r="L443" s="24" t="n"/>
      <c r="M443" s="25">
        <f>IF(OR(A443="",D443=""),0,IF(COUNTIFS($A$2:A443,A443,$D$2:D443,D443)=1,1,0))</f>
        <v/>
      </c>
    </row>
    <row r="444">
      <c r="A444" s="26" t="n"/>
      <c r="B444" s="27" t="n"/>
      <c r="C444" s="27" t="n"/>
      <c r="D444" s="28" t="n"/>
      <c r="E444" s="28" t="n"/>
      <c r="F444" s="29" t="n"/>
      <c r="G444" s="30" t="n"/>
      <c r="H444" s="20">
        <f>IF(A444="","",TRIM(IF(WEEKDAY(A444,2)&gt;5,"Fin de semana. ","")&amp;IF(SUMIFS($G$2:$G$601,$A$2:$A$601,A444,$D$2:$D$601,D444)&gt;9,"Más de 9 h en el día. ","")&amp;IF(AND(B444&lt;&gt;"",C444&lt;&gt;"",C444&lt;B444),"Cruza la medianoche. ","")&amp;IF(LEN(TRIM(F444))&lt;15,"Sin descripción suficiente. ","")&amp;IF(AND(ISERROR(SEARCH("R-0",F444)),ISERROR(SEARCH("CU-",F444))),"Sin ticket. ","")&amp;IF(ISNA(MATCH(E444,Datos!$E$8:$E$22,0)),"Proyecto sin valor hora. ","")&amp;IF(ISNA(MATCH(D444,Datos!$A$8:$A$22,0)),"Persona fuera del equipo. ","")))</f>
        <v/>
      </c>
      <c r="I444" s="21" t="n"/>
      <c r="J444" s="22" t="n"/>
      <c r="K444" s="23">
        <f>IF(G444="","",IF(J444&lt;&gt;"",MIN(J444,G444),IF(OR(I444="Observada",I444="Rechazada"),0,G444)))</f>
        <v/>
      </c>
      <c r="L444" s="24" t="n"/>
      <c r="M444" s="25">
        <f>IF(OR(A444="",D444=""),0,IF(COUNTIFS($A$2:A444,A444,$D$2:D444,D444)=1,1,0))</f>
        <v/>
      </c>
    </row>
    <row r="445">
      <c r="A445" s="26" t="n"/>
      <c r="B445" s="27" t="n"/>
      <c r="C445" s="27" t="n"/>
      <c r="D445" s="28" t="n"/>
      <c r="E445" s="28" t="n"/>
      <c r="F445" s="29" t="n"/>
      <c r="G445" s="30" t="n"/>
      <c r="H445" s="20">
        <f>IF(A445="","",TRIM(IF(WEEKDAY(A445,2)&gt;5,"Fin de semana. ","")&amp;IF(SUMIFS($G$2:$G$601,$A$2:$A$601,A445,$D$2:$D$601,D445)&gt;9,"Más de 9 h en el día. ","")&amp;IF(AND(B445&lt;&gt;"",C445&lt;&gt;"",C445&lt;B445),"Cruza la medianoche. ","")&amp;IF(LEN(TRIM(F445))&lt;15,"Sin descripción suficiente. ","")&amp;IF(AND(ISERROR(SEARCH("R-0",F445)),ISERROR(SEARCH("CU-",F445))),"Sin ticket. ","")&amp;IF(ISNA(MATCH(E445,Datos!$E$8:$E$22,0)),"Proyecto sin valor hora. ","")&amp;IF(ISNA(MATCH(D445,Datos!$A$8:$A$22,0)),"Persona fuera del equipo. ","")))</f>
        <v/>
      </c>
      <c r="I445" s="21" t="n"/>
      <c r="J445" s="22" t="n"/>
      <c r="K445" s="23">
        <f>IF(G445="","",IF(J445&lt;&gt;"",MIN(J445,G445),IF(OR(I445="Observada",I445="Rechazada"),0,G445)))</f>
        <v/>
      </c>
      <c r="L445" s="24" t="n"/>
      <c r="M445" s="25">
        <f>IF(OR(A445="",D445=""),0,IF(COUNTIFS($A$2:A445,A445,$D$2:D445,D445)=1,1,0))</f>
        <v/>
      </c>
    </row>
    <row r="446">
      <c r="A446" s="26" t="n"/>
      <c r="B446" s="27" t="n"/>
      <c r="C446" s="27" t="n"/>
      <c r="D446" s="28" t="n"/>
      <c r="E446" s="28" t="n"/>
      <c r="F446" s="29" t="n"/>
      <c r="G446" s="30" t="n"/>
      <c r="H446" s="20">
        <f>IF(A446="","",TRIM(IF(WEEKDAY(A446,2)&gt;5,"Fin de semana. ","")&amp;IF(SUMIFS($G$2:$G$601,$A$2:$A$601,A446,$D$2:$D$601,D446)&gt;9,"Más de 9 h en el día. ","")&amp;IF(AND(B446&lt;&gt;"",C446&lt;&gt;"",C446&lt;B446),"Cruza la medianoche. ","")&amp;IF(LEN(TRIM(F446))&lt;15,"Sin descripción suficiente. ","")&amp;IF(AND(ISERROR(SEARCH("R-0",F446)),ISERROR(SEARCH("CU-",F446))),"Sin ticket. ","")&amp;IF(ISNA(MATCH(E446,Datos!$E$8:$E$22,0)),"Proyecto sin valor hora. ","")&amp;IF(ISNA(MATCH(D446,Datos!$A$8:$A$22,0)),"Persona fuera del equipo. ","")))</f>
        <v/>
      </c>
      <c r="I446" s="21" t="n"/>
      <c r="J446" s="22" t="n"/>
      <c r="K446" s="23">
        <f>IF(G446="","",IF(J446&lt;&gt;"",MIN(J446,G446),IF(OR(I446="Observada",I446="Rechazada"),0,G446)))</f>
        <v/>
      </c>
      <c r="L446" s="24" t="n"/>
      <c r="M446" s="25">
        <f>IF(OR(A446="",D446=""),0,IF(COUNTIFS($A$2:A446,A446,$D$2:D446,D446)=1,1,0))</f>
        <v/>
      </c>
    </row>
    <row r="447">
      <c r="A447" s="26" t="n"/>
      <c r="B447" s="27" t="n"/>
      <c r="C447" s="27" t="n"/>
      <c r="D447" s="28" t="n"/>
      <c r="E447" s="28" t="n"/>
      <c r="F447" s="29" t="n"/>
      <c r="G447" s="30" t="n"/>
      <c r="H447" s="20">
        <f>IF(A447="","",TRIM(IF(WEEKDAY(A447,2)&gt;5,"Fin de semana. ","")&amp;IF(SUMIFS($G$2:$G$601,$A$2:$A$601,A447,$D$2:$D$601,D447)&gt;9,"Más de 9 h en el día. ","")&amp;IF(AND(B447&lt;&gt;"",C447&lt;&gt;"",C447&lt;B447),"Cruza la medianoche. ","")&amp;IF(LEN(TRIM(F447))&lt;15,"Sin descripción suficiente. ","")&amp;IF(AND(ISERROR(SEARCH("R-0",F447)),ISERROR(SEARCH("CU-",F447))),"Sin ticket. ","")&amp;IF(ISNA(MATCH(E447,Datos!$E$8:$E$22,0)),"Proyecto sin valor hora. ","")&amp;IF(ISNA(MATCH(D447,Datos!$A$8:$A$22,0)),"Persona fuera del equipo. ","")))</f>
        <v/>
      </c>
      <c r="I447" s="21" t="n"/>
      <c r="J447" s="22" t="n"/>
      <c r="K447" s="23">
        <f>IF(G447="","",IF(J447&lt;&gt;"",MIN(J447,G447),IF(OR(I447="Observada",I447="Rechazada"),0,G447)))</f>
        <v/>
      </c>
      <c r="L447" s="24" t="n"/>
      <c r="M447" s="25">
        <f>IF(OR(A447="",D447=""),0,IF(COUNTIFS($A$2:A447,A447,$D$2:D447,D447)=1,1,0))</f>
        <v/>
      </c>
    </row>
    <row r="448">
      <c r="A448" s="26" t="n"/>
      <c r="B448" s="27" t="n"/>
      <c r="C448" s="27" t="n"/>
      <c r="D448" s="28" t="n"/>
      <c r="E448" s="28" t="n"/>
      <c r="F448" s="29" t="n"/>
      <c r="G448" s="30" t="n"/>
      <c r="H448" s="20">
        <f>IF(A448="","",TRIM(IF(WEEKDAY(A448,2)&gt;5,"Fin de semana. ","")&amp;IF(SUMIFS($G$2:$G$601,$A$2:$A$601,A448,$D$2:$D$601,D448)&gt;9,"Más de 9 h en el día. ","")&amp;IF(AND(B448&lt;&gt;"",C448&lt;&gt;"",C448&lt;B448),"Cruza la medianoche. ","")&amp;IF(LEN(TRIM(F448))&lt;15,"Sin descripción suficiente. ","")&amp;IF(AND(ISERROR(SEARCH("R-0",F448)),ISERROR(SEARCH("CU-",F448))),"Sin ticket. ","")&amp;IF(ISNA(MATCH(E448,Datos!$E$8:$E$22,0)),"Proyecto sin valor hora. ","")&amp;IF(ISNA(MATCH(D448,Datos!$A$8:$A$22,0)),"Persona fuera del equipo. ","")))</f>
        <v/>
      </c>
      <c r="I448" s="21" t="n"/>
      <c r="J448" s="22" t="n"/>
      <c r="K448" s="23">
        <f>IF(G448="","",IF(J448&lt;&gt;"",MIN(J448,G448),IF(OR(I448="Observada",I448="Rechazada"),0,G448)))</f>
        <v/>
      </c>
      <c r="L448" s="24" t="n"/>
      <c r="M448" s="25">
        <f>IF(OR(A448="",D448=""),0,IF(COUNTIFS($A$2:A448,A448,$D$2:D448,D448)=1,1,0))</f>
        <v/>
      </c>
    </row>
    <row r="449">
      <c r="A449" s="26" t="n"/>
      <c r="B449" s="27" t="n"/>
      <c r="C449" s="27" t="n"/>
      <c r="D449" s="28" t="n"/>
      <c r="E449" s="28" t="n"/>
      <c r="F449" s="29" t="n"/>
      <c r="G449" s="30" t="n"/>
      <c r="H449" s="20">
        <f>IF(A449="","",TRIM(IF(WEEKDAY(A449,2)&gt;5,"Fin de semana. ","")&amp;IF(SUMIFS($G$2:$G$601,$A$2:$A$601,A449,$D$2:$D$601,D449)&gt;9,"Más de 9 h en el día. ","")&amp;IF(AND(B449&lt;&gt;"",C449&lt;&gt;"",C449&lt;B449),"Cruza la medianoche. ","")&amp;IF(LEN(TRIM(F449))&lt;15,"Sin descripción suficiente. ","")&amp;IF(AND(ISERROR(SEARCH("R-0",F449)),ISERROR(SEARCH("CU-",F449))),"Sin ticket. ","")&amp;IF(ISNA(MATCH(E449,Datos!$E$8:$E$22,0)),"Proyecto sin valor hora. ","")&amp;IF(ISNA(MATCH(D449,Datos!$A$8:$A$22,0)),"Persona fuera del equipo. ","")))</f>
        <v/>
      </c>
      <c r="I449" s="21" t="n"/>
      <c r="J449" s="22" t="n"/>
      <c r="K449" s="23">
        <f>IF(G449="","",IF(J449&lt;&gt;"",MIN(J449,G449),IF(OR(I449="Observada",I449="Rechazada"),0,G449)))</f>
        <v/>
      </c>
      <c r="L449" s="24" t="n"/>
      <c r="M449" s="25">
        <f>IF(OR(A449="",D449=""),0,IF(COUNTIFS($A$2:A449,A449,$D$2:D449,D449)=1,1,0))</f>
        <v/>
      </c>
    </row>
    <row r="450">
      <c r="A450" s="26" t="n"/>
      <c r="B450" s="27" t="n"/>
      <c r="C450" s="27" t="n"/>
      <c r="D450" s="28" t="n"/>
      <c r="E450" s="28" t="n"/>
      <c r="F450" s="29" t="n"/>
      <c r="G450" s="30" t="n"/>
      <c r="H450" s="20">
        <f>IF(A450="","",TRIM(IF(WEEKDAY(A450,2)&gt;5,"Fin de semana. ","")&amp;IF(SUMIFS($G$2:$G$601,$A$2:$A$601,A450,$D$2:$D$601,D450)&gt;9,"Más de 9 h en el día. ","")&amp;IF(AND(B450&lt;&gt;"",C450&lt;&gt;"",C450&lt;B450),"Cruza la medianoche. ","")&amp;IF(LEN(TRIM(F450))&lt;15,"Sin descripción suficiente. ","")&amp;IF(AND(ISERROR(SEARCH("R-0",F450)),ISERROR(SEARCH("CU-",F450))),"Sin ticket. ","")&amp;IF(ISNA(MATCH(E450,Datos!$E$8:$E$22,0)),"Proyecto sin valor hora. ","")&amp;IF(ISNA(MATCH(D450,Datos!$A$8:$A$22,0)),"Persona fuera del equipo. ","")))</f>
        <v/>
      </c>
      <c r="I450" s="21" t="n"/>
      <c r="J450" s="22" t="n"/>
      <c r="K450" s="23">
        <f>IF(G450="","",IF(J450&lt;&gt;"",MIN(J450,G450),IF(OR(I450="Observada",I450="Rechazada"),0,G450)))</f>
        <v/>
      </c>
      <c r="L450" s="24" t="n"/>
      <c r="M450" s="25">
        <f>IF(OR(A450="",D450=""),0,IF(COUNTIFS($A$2:A450,A450,$D$2:D450,D450)=1,1,0))</f>
        <v/>
      </c>
    </row>
    <row r="451">
      <c r="A451" s="26" t="n"/>
      <c r="B451" s="27" t="n"/>
      <c r="C451" s="27" t="n"/>
      <c r="D451" s="28" t="n"/>
      <c r="E451" s="28" t="n"/>
      <c r="F451" s="29" t="n"/>
      <c r="G451" s="30" t="n"/>
      <c r="H451" s="20">
        <f>IF(A451="","",TRIM(IF(WEEKDAY(A451,2)&gt;5,"Fin de semana. ","")&amp;IF(SUMIFS($G$2:$G$601,$A$2:$A$601,A451,$D$2:$D$601,D451)&gt;9,"Más de 9 h en el día. ","")&amp;IF(AND(B451&lt;&gt;"",C451&lt;&gt;"",C451&lt;B451),"Cruza la medianoche. ","")&amp;IF(LEN(TRIM(F451))&lt;15,"Sin descripción suficiente. ","")&amp;IF(AND(ISERROR(SEARCH("R-0",F451)),ISERROR(SEARCH("CU-",F451))),"Sin ticket. ","")&amp;IF(ISNA(MATCH(E451,Datos!$E$8:$E$22,0)),"Proyecto sin valor hora. ","")&amp;IF(ISNA(MATCH(D451,Datos!$A$8:$A$22,0)),"Persona fuera del equipo. ","")))</f>
        <v/>
      </c>
      <c r="I451" s="21" t="n"/>
      <c r="J451" s="22" t="n"/>
      <c r="K451" s="23">
        <f>IF(G451="","",IF(J451&lt;&gt;"",MIN(J451,G451),IF(OR(I451="Observada",I451="Rechazada"),0,G451)))</f>
        <v/>
      </c>
      <c r="L451" s="24" t="n"/>
      <c r="M451" s="25">
        <f>IF(OR(A451="",D451=""),0,IF(COUNTIFS($A$2:A451,A451,$D$2:D451,D451)=1,1,0))</f>
        <v/>
      </c>
    </row>
    <row r="452">
      <c r="A452" s="26" t="n"/>
      <c r="B452" s="27" t="n"/>
      <c r="C452" s="27" t="n"/>
      <c r="D452" s="28" t="n"/>
      <c r="E452" s="28" t="n"/>
      <c r="F452" s="29" t="n"/>
      <c r="G452" s="30" t="n"/>
      <c r="H452" s="20">
        <f>IF(A452="","",TRIM(IF(WEEKDAY(A452,2)&gt;5,"Fin de semana. ","")&amp;IF(SUMIFS($G$2:$G$601,$A$2:$A$601,A452,$D$2:$D$601,D452)&gt;9,"Más de 9 h en el día. ","")&amp;IF(AND(B452&lt;&gt;"",C452&lt;&gt;"",C452&lt;B452),"Cruza la medianoche. ","")&amp;IF(LEN(TRIM(F452))&lt;15,"Sin descripción suficiente. ","")&amp;IF(AND(ISERROR(SEARCH("R-0",F452)),ISERROR(SEARCH("CU-",F452))),"Sin ticket. ","")&amp;IF(ISNA(MATCH(E452,Datos!$E$8:$E$22,0)),"Proyecto sin valor hora. ","")&amp;IF(ISNA(MATCH(D452,Datos!$A$8:$A$22,0)),"Persona fuera del equipo. ","")))</f>
        <v/>
      </c>
      <c r="I452" s="21" t="n"/>
      <c r="J452" s="22" t="n"/>
      <c r="K452" s="23">
        <f>IF(G452="","",IF(J452&lt;&gt;"",MIN(J452,G452),IF(OR(I452="Observada",I452="Rechazada"),0,G452)))</f>
        <v/>
      </c>
      <c r="L452" s="24" t="n"/>
      <c r="M452" s="25">
        <f>IF(OR(A452="",D452=""),0,IF(COUNTIFS($A$2:A452,A452,$D$2:D452,D452)=1,1,0))</f>
        <v/>
      </c>
    </row>
    <row r="453">
      <c r="A453" s="26" t="n"/>
      <c r="B453" s="27" t="n"/>
      <c r="C453" s="27" t="n"/>
      <c r="D453" s="28" t="n"/>
      <c r="E453" s="28" t="n"/>
      <c r="F453" s="29" t="n"/>
      <c r="G453" s="30" t="n"/>
      <c r="H453" s="20">
        <f>IF(A453="","",TRIM(IF(WEEKDAY(A453,2)&gt;5,"Fin de semana. ","")&amp;IF(SUMIFS($G$2:$G$601,$A$2:$A$601,A453,$D$2:$D$601,D453)&gt;9,"Más de 9 h en el día. ","")&amp;IF(AND(B453&lt;&gt;"",C453&lt;&gt;"",C453&lt;B453),"Cruza la medianoche. ","")&amp;IF(LEN(TRIM(F453))&lt;15,"Sin descripción suficiente. ","")&amp;IF(AND(ISERROR(SEARCH("R-0",F453)),ISERROR(SEARCH("CU-",F453))),"Sin ticket. ","")&amp;IF(ISNA(MATCH(E453,Datos!$E$8:$E$22,0)),"Proyecto sin valor hora. ","")&amp;IF(ISNA(MATCH(D453,Datos!$A$8:$A$22,0)),"Persona fuera del equipo. ","")))</f>
        <v/>
      </c>
      <c r="I453" s="21" t="n"/>
      <c r="J453" s="22" t="n"/>
      <c r="K453" s="23">
        <f>IF(G453="","",IF(J453&lt;&gt;"",MIN(J453,G453),IF(OR(I453="Observada",I453="Rechazada"),0,G453)))</f>
        <v/>
      </c>
      <c r="L453" s="24" t="n"/>
      <c r="M453" s="25">
        <f>IF(OR(A453="",D453=""),0,IF(COUNTIFS($A$2:A453,A453,$D$2:D453,D453)=1,1,0))</f>
        <v/>
      </c>
    </row>
    <row r="454">
      <c r="A454" s="26" t="n"/>
      <c r="B454" s="27" t="n"/>
      <c r="C454" s="27" t="n"/>
      <c r="D454" s="28" t="n"/>
      <c r="E454" s="28" t="n"/>
      <c r="F454" s="29" t="n"/>
      <c r="G454" s="30" t="n"/>
      <c r="H454" s="20">
        <f>IF(A454="","",TRIM(IF(WEEKDAY(A454,2)&gt;5,"Fin de semana. ","")&amp;IF(SUMIFS($G$2:$G$601,$A$2:$A$601,A454,$D$2:$D$601,D454)&gt;9,"Más de 9 h en el día. ","")&amp;IF(AND(B454&lt;&gt;"",C454&lt;&gt;"",C454&lt;B454),"Cruza la medianoche. ","")&amp;IF(LEN(TRIM(F454))&lt;15,"Sin descripción suficiente. ","")&amp;IF(AND(ISERROR(SEARCH("R-0",F454)),ISERROR(SEARCH("CU-",F454))),"Sin ticket. ","")&amp;IF(ISNA(MATCH(E454,Datos!$E$8:$E$22,0)),"Proyecto sin valor hora. ","")&amp;IF(ISNA(MATCH(D454,Datos!$A$8:$A$22,0)),"Persona fuera del equipo. ","")))</f>
        <v/>
      </c>
      <c r="I454" s="21" t="n"/>
      <c r="J454" s="22" t="n"/>
      <c r="K454" s="23">
        <f>IF(G454="","",IF(J454&lt;&gt;"",MIN(J454,G454),IF(OR(I454="Observada",I454="Rechazada"),0,G454)))</f>
        <v/>
      </c>
      <c r="L454" s="24" t="n"/>
      <c r="M454" s="25">
        <f>IF(OR(A454="",D454=""),0,IF(COUNTIFS($A$2:A454,A454,$D$2:D454,D454)=1,1,0))</f>
        <v/>
      </c>
    </row>
    <row r="455">
      <c r="A455" s="26" t="n"/>
      <c r="B455" s="27" t="n"/>
      <c r="C455" s="27" t="n"/>
      <c r="D455" s="28" t="n"/>
      <c r="E455" s="28" t="n"/>
      <c r="F455" s="29" t="n"/>
      <c r="G455" s="30" t="n"/>
      <c r="H455" s="20">
        <f>IF(A455="","",TRIM(IF(WEEKDAY(A455,2)&gt;5,"Fin de semana. ","")&amp;IF(SUMIFS($G$2:$G$601,$A$2:$A$601,A455,$D$2:$D$601,D455)&gt;9,"Más de 9 h en el día. ","")&amp;IF(AND(B455&lt;&gt;"",C455&lt;&gt;"",C455&lt;B455),"Cruza la medianoche. ","")&amp;IF(LEN(TRIM(F455))&lt;15,"Sin descripción suficiente. ","")&amp;IF(AND(ISERROR(SEARCH("R-0",F455)),ISERROR(SEARCH("CU-",F455))),"Sin ticket. ","")&amp;IF(ISNA(MATCH(E455,Datos!$E$8:$E$22,0)),"Proyecto sin valor hora. ","")&amp;IF(ISNA(MATCH(D455,Datos!$A$8:$A$22,0)),"Persona fuera del equipo. ","")))</f>
        <v/>
      </c>
      <c r="I455" s="21" t="n"/>
      <c r="J455" s="22" t="n"/>
      <c r="K455" s="23">
        <f>IF(G455="","",IF(J455&lt;&gt;"",MIN(J455,G455),IF(OR(I455="Observada",I455="Rechazada"),0,G455)))</f>
        <v/>
      </c>
      <c r="L455" s="24" t="n"/>
      <c r="M455" s="25">
        <f>IF(OR(A455="",D455=""),0,IF(COUNTIFS($A$2:A455,A455,$D$2:D455,D455)=1,1,0))</f>
        <v/>
      </c>
    </row>
    <row r="456">
      <c r="A456" s="26" t="n"/>
      <c r="B456" s="27" t="n"/>
      <c r="C456" s="27" t="n"/>
      <c r="D456" s="28" t="n"/>
      <c r="E456" s="28" t="n"/>
      <c r="F456" s="29" t="n"/>
      <c r="G456" s="30" t="n"/>
      <c r="H456" s="20">
        <f>IF(A456="","",TRIM(IF(WEEKDAY(A456,2)&gt;5,"Fin de semana. ","")&amp;IF(SUMIFS($G$2:$G$601,$A$2:$A$601,A456,$D$2:$D$601,D456)&gt;9,"Más de 9 h en el día. ","")&amp;IF(AND(B456&lt;&gt;"",C456&lt;&gt;"",C456&lt;B456),"Cruza la medianoche. ","")&amp;IF(LEN(TRIM(F456))&lt;15,"Sin descripción suficiente. ","")&amp;IF(AND(ISERROR(SEARCH("R-0",F456)),ISERROR(SEARCH("CU-",F456))),"Sin ticket. ","")&amp;IF(ISNA(MATCH(E456,Datos!$E$8:$E$22,0)),"Proyecto sin valor hora. ","")&amp;IF(ISNA(MATCH(D456,Datos!$A$8:$A$22,0)),"Persona fuera del equipo. ","")))</f>
        <v/>
      </c>
      <c r="I456" s="21" t="n"/>
      <c r="J456" s="22" t="n"/>
      <c r="K456" s="23">
        <f>IF(G456="","",IF(J456&lt;&gt;"",MIN(J456,G456),IF(OR(I456="Observada",I456="Rechazada"),0,G456)))</f>
        <v/>
      </c>
      <c r="L456" s="24" t="n"/>
      <c r="M456" s="25">
        <f>IF(OR(A456="",D456=""),0,IF(COUNTIFS($A$2:A456,A456,$D$2:D456,D456)=1,1,0))</f>
        <v/>
      </c>
    </row>
    <row r="457">
      <c r="A457" s="26" t="n"/>
      <c r="B457" s="27" t="n"/>
      <c r="C457" s="27" t="n"/>
      <c r="D457" s="28" t="n"/>
      <c r="E457" s="28" t="n"/>
      <c r="F457" s="29" t="n"/>
      <c r="G457" s="30" t="n"/>
      <c r="H457" s="20">
        <f>IF(A457="","",TRIM(IF(WEEKDAY(A457,2)&gt;5,"Fin de semana. ","")&amp;IF(SUMIFS($G$2:$G$601,$A$2:$A$601,A457,$D$2:$D$601,D457)&gt;9,"Más de 9 h en el día. ","")&amp;IF(AND(B457&lt;&gt;"",C457&lt;&gt;"",C457&lt;B457),"Cruza la medianoche. ","")&amp;IF(LEN(TRIM(F457))&lt;15,"Sin descripción suficiente. ","")&amp;IF(AND(ISERROR(SEARCH("R-0",F457)),ISERROR(SEARCH("CU-",F457))),"Sin ticket. ","")&amp;IF(ISNA(MATCH(E457,Datos!$E$8:$E$22,0)),"Proyecto sin valor hora. ","")&amp;IF(ISNA(MATCH(D457,Datos!$A$8:$A$22,0)),"Persona fuera del equipo. ","")))</f>
        <v/>
      </c>
      <c r="I457" s="21" t="n"/>
      <c r="J457" s="22" t="n"/>
      <c r="K457" s="23">
        <f>IF(G457="","",IF(J457&lt;&gt;"",MIN(J457,G457),IF(OR(I457="Observada",I457="Rechazada"),0,G457)))</f>
        <v/>
      </c>
      <c r="L457" s="24" t="n"/>
      <c r="M457" s="25">
        <f>IF(OR(A457="",D457=""),0,IF(COUNTIFS($A$2:A457,A457,$D$2:D457,D457)=1,1,0))</f>
        <v/>
      </c>
    </row>
    <row r="458">
      <c r="A458" s="26" t="n"/>
      <c r="B458" s="27" t="n"/>
      <c r="C458" s="27" t="n"/>
      <c r="D458" s="28" t="n"/>
      <c r="E458" s="28" t="n"/>
      <c r="F458" s="29" t="n"/>
      <c r="G458" s="30" t="n"/>
      <c r="H458" s="20">
        <f>IF(A458="","",TRIM(IF(WEEKDAY(A458,2)&gt;5,"Fin de semana. ","")&amp;IF(SUMIFS($G$2:$G$601,$A$2:$A$601,A458,$D$2:$D$601,D458)&gt;9,"Más de 9 h en el día. ","")&amp;IF(AND(B458&lt;&gt;"",C458&lt;&gt;"",C458&lt;B458),"Cruza la medianoche. ","")&amp;IF(LEN(TRIM(F458))&lt;15,"Sin descripción suficiente. ","")&amp;IF(AND(ISERROR(SEARCH("R-0",F458)),ISERROR(SEARCH("CU-",F458))),"Sin ticket. ","")&amp;IF(ISNA(MATCH(E458,Datos!$E$8:$E$22,0)),"Proyecto sin valor hora. ","")&amp;IF(ISNA(MATCH(D458,Datos!$A$8:$A$22,0)),"Persona fuera del equipo. ","")))</f>
        <v/>
      </c>
      <c r="I458" s="21" t="n"/>
      <c r="J458" s="22" t="n"/>
      <c r="K458" s="23">
        <f>IF(G458="","",IF(J458&lt;&gt;"",MIN(J458,G458),IF(OR(I458="Observada",I458="Rechazada"),0,G458)))</f>
        <v/>
      </c>
      <c r="L458" s="24" t="n"/>
      <c r="M458" s="25">
        <f>IF(OR(A458="",D458=""),0,IF(COUNTIFS($A$2:A458,A458,$D$2:D458,D458)=1,1,0))</f>
        <v/>
      </c>
    </row>
    <row r="459">
      <c r="A459" s="26" t="n"/>
      <c r="B459" s="27" t="n"/>
      <c r="C459" s="27" t="n"/>
      <c r="D459" s="28" t="n"/>
      <c r="E459" s="28" t="n"/>
      <c r="F459" s="29" t="n"/>
      <c r="G459" s="30" t="n"/>
      <c r="H459" s="20">
        <f>IF(A459="","",TRIM(IF(WEEKDAY(A459,2)&gt;5,"Fin de semana. ","")&amp;IF(SUMIFS($G$2:$G$601,$A$2:$A$601,A459,$D$2:$D$601,D459)&gt;9,"Más de 9 h en el día. ","")&amp;IF(AND(B459&lt;&gt;"",C459&lt;&gt;"",C459&lt;B459),"Cruza la medianoche. ","")&amp;IF(LEN(TRIM(F459))&lt;15,"Sin descripción suficiente. ","")&amp;IF(AND(ISERROR(SEARCH("R-0",F459)),ISERROR(SEARCH("CU-",F459))),"Sin ticket. ","")&amp;IF(ISNA(MATCH(E459,Datos!$E$8:$E$22,0)),"Proyecto sin valor hora. ","")&amp;IF(ISNA(MATCH(D459,Datos!$A$8:$A$22,0)),"Persona fuera del equipo. ","")))</f>
        <v/>
      </c>
      <c r="I459" s="21" t="n"/>
      <c r="J459" s="22" t="n"/>
      <c r="K459" s="23">
        <f>IF(G459="","",IF(J459&lt;&gt;"",MIN(J459,G459),IF(OR(I459="Observada",I459="Rechazada"),0,G459)))</f>
        <v/>
      </c>
      <c r="L459" s="24" t="n"/>
      <c r="M459" s="25">
        <f>IF(OR(A459="",D459=""),0,IF(COUNTIFS($A$2:A459,A459,$D$2:D459,D459)=1,1,0))</f>
        <v/>
      </c>
    </row>
    <row r="460">
      <c r="A460" s="26" t="n"/>
      <c r="B460" s="27" t="n"/>
      <c r="C460" s="27" t="n"/>
      <c r="D460" s="28" t="n"/>
      <c r="E460" s="28" t="n"/>
      <c r="F460" s="29" t="n"/>
      <c r="G460" s="30" t="n"/>
      <c r="H460" s="20">
        <f>IF(A460="","",TRIM(IF(WEEKDAY(A460,2)&gt;5,"Fin de semana. ","")&amp;IF(SUMIFS($G$2:$G$601,$A$2:$A$601,A460,$D$2:$D$601,D460)&gt;9,"Más de 9 h en el día. ","")&amp;IF(AND(B460&lt;&gt;"",C460&lt;&gt;"",C460&lt;B460),"Cruza la medianoche. ","")&amp;IF(LEN(TRIM(F460))&lt;15,"Sin descripción suficiente. ","")&amp;IF(AND(ISERROR(SEARCH("R-0",F460)),ISERROR(SEARCH("CU-",F460))),"Sin ticket. ","")&amp;IF(ISNA(MATCH(E460,Datos!$E$8:$E$22,0)),"Proyecto sin valor hora. ","")&amp;IF(ISNA(MATCH(D460,Datos!$A$8:$A$22,0)),"Persona fuera del equipo. ","")))</f>
        <v/>
      </c>
      <c r="I460" s="21" t="n"/>
      <c r="J460" s="22" t="n"/>
      <c r="K460" s="23">
        <f>IF(G460="","",IF(J460&lt;&gt;"",MIN(J460,G460),IF(OR(I460="Observada",I460="Rechazada"),0,G460)))</f>
        <v/>
      </c>
      <c r="L460" s="24" t="n"/>
      <c r="M460" s="25">
        <f>IF(OR(A460="",D460=""),0,IF(COUNTIFS($A$2:A460,A460,$D$2:D460,D460)=1,1,0))</f>
        <v/>
      </c>
    </row>
    <row r="461">
      <c r="A461" s="26" t="n"/>
      <c r="B461" s="27" t="n"/>
      <c r="C461" s="27" t="n"/>
      <c r="D461" s="28" t="n"/>
      <c r="E461" s="28" t="n"/>
      <c r="F461" s="29" t="n"/>
      <c r="G461" s="30" t="n"/>
      <c r="H461" s="20">
        <f>IF(A461="","",TRIM(IF(WEEKDAY(A461,2)&gt;5,"Fin de semana. ","")&amp;IF(SUMIFS($G$2:$G$601,$A$2:$A$601,A461,$D$2:$D$601,D461)&gt;9,"Más de 9 h en el día. ","")&amp;IF(AND(B461&lt;&gt;"",C461&lt;&gt;"",C461&lt;B461),"Cruza la medianoche. ","")&amp;IF(LEN(TRIM(F461))&lt;15,"Sin descripción suficiente. ","")&amp;IF(AND(ISERROR(SEARCH("R-0",F461)),ISERROR(SEARCH("CU-",F461))),"Sin ticket. ","")&amp;IF(ISNA(MATCH(E461,Datos!$E$8:$E$22,0)),"Proyecto sin valor hora. ","")&amp;IF(ISNA(MATCH(D461,Datos!$A$8:$A$22,0)),"Persona fuera del equipo. ","")))</f>
        <v/>
      </c>
      <c r="I461" s="21" t="n"/>
      <c r="J461" s="22" t="n"/>
      <c r="K461" s="23">
        <f>IF(G461="","",IF(J461&lt;&gt;"",MIN(J461,G461),IF(OR(I461="Observada",I461="Rechazada"),0,G461)))</f>
        <v/>
      </c>
      <c r="L461" s="24" t="n"/>
      <c r="M461" s="25">
        <f>IF(OR(A461="",D461=""),0,IF(COUNTIFS($A$2:A461,A461,$D$2:D461,D461)=1,1,0))</f>
        <v/>
      </c>
    </row>
    <row r="462">
      <c r="A462" s="26" t="n"/>
      <c r="B462" s="27" t="n"/>
      <c r="C462" s="27" t="n"/>
      <c r="D462" s="28" t="n"/>
      <c r="E462" s="28" t="n"/>
      <c r="F462" s="29" t="n"/>
      <c r="G462" s="30" t="n"/>
      <c r="H462" s="20">
        <f>IF(A462="","",TRIM(IF(WEEKDAY(A462,2)&gt;5,"Fin de semana. ","")&amp;IF(SUMIFS($G$2:$G$601,$A$2:$A$601,A462,$D$2:$D$601,D462)&gt;9,"Más de 9 h en el día. ","")&amp;IF(AND(B462&lt;&gt;"",C462&lt;&gt;"",C462&lt;B462),"Cruza la medianoche. ","")&amp;IF(LEN(TRIM(F462))&lt;15,"Sin descripción suficiente. ","")&amp;IF(AND(ISERROR(SEARCH("R-0",F462)),ISERROR(SEARCH("CU-",F462))),"Sin ticket. ","")&amp;IF(ISNA(MATCH(E462,Datos!$E$8:$E$22,0)),"Proyecto sin valor hora. ","")&amp;IF(ISNA(MATCH(D462,Datos!$A$8:$A$22,0)),"Persona fuera del equipo. ","")))</f>
        <v/>
      </c>
      <c r="I462" s="21" t="n"/>
      <c r="J462" s="22" t="n"/>
      <c r="K462" s="23">
        <f>IF(G462="","",IF(J462&lt;&gt;"",MIN(J462,G462),IF(OR(I462="Observada",I462="Rechazada"),0,G462)))</f>
        <v/>
      </c>
      <c r="L462" s="24" t="n"/>
      <c r="M462" s="25">
        <f>IF(OR(A462="",D462=""),0,IF(COUNTIFS($A$2:A462,A462,$D$2:D462,D462)=1,1,0))</f>
        <v/>
      </c>
    </row>
    <row r="463">
      <c r="A463" s="26" t="n"/>
      <c r="B463" s="27" t="n"/>
      <c r="C463" s="27" t="n"/>
      <c r="D463" s="28" t="n"/>
      <c r="E463" s="28" t="n"/>
      <c r="F463" s="29" t="n"/>
      <c r="G463" s="30" t="n"/>
      <c r="H463" s="20">
        <f>IF(A463="","",TRIM(IF(WEEKDAY(A463,2)&gt;5,"Fin de semana. ","")&amp;IF(SUMIFS($G$2:$G$601,$A$2:$A$601,A463,$D$2:$D$601,D463)&gt;9,"Más de 9 h en el día. ","")&amp;IF(AND(B463&lt;&gt;"",C463&lt;&gt;"",C463&lt;B463),"Cruza la medianoche. ","")&amp;IF(LEN(TRIM(F463))&lt;15,"Sin descripción suficiente. ","")&amp;IF(AND(ISERROR(SEARCH("R-0",F463)),ISERROR(SEARCH("CU-",F463))),"Sin ticket. ","")&amp;IF(ISNA(MATCH(E463,Datos!$E$8:$E$22,0)),"Proyecto sin valor hora. ","")&amp;IF(ISNA(MATCH(D463,Datos!$A$8:$A$22,0)),"Persona fuera del equipo. ","")))</f>
        <v/>
      </c>
      <c r="I463" s="21" t="n"/>
      <c r="J463" s="22" t="n"/>
      <c r="K463" s="23">
        <f>IF(G463="","",IF(J463&lt;&gt;"",MIN(J463,G463),IF(OR(I463="Observada",I463="Rechazada"),0,G463)))</f>
        <v/>
      </c>
      <c r="L463" s="24" t="n"/>
      <c r="M463" s="25">
        <f>IF(OR(A463="",D463=""),0,IF(COUNTIFS($A$2:A463,A463,$D$2:D463,D463)=1,1,0))</f>
        <v/>
      </c>
    </row>
    <row r="464">
      <c r="A464" s="26" t="n"/>
      <c r="B464" s="27" t="n"/>
      <c r="C464" s="27" t="n"/>
      <c r="D464" s="28" t="n"/>
      <c r="E464" s="28" t="n"/>
      <c r="F464" s="29" t="n"/>
      <c r="G464" s="30" t="n"/>
      <c r="H464" s="20">
        <f>IF(A464="","",TRIM(IF(WEEKDAY(A464,2)&gt;5,"Fin de semana. ","")&amp;IF(SUMIFS($G$2:$G$601,$A$2:$A$601,A464,$D$2:$D$601,D464)&gt;9,"Más de 9 h en el día. ","")&amp;IF(AND(B464&lt;&gt;"",C464&lt;&gt;"",C464&lt;B464),"Cruza la medianoche. ","")&amp;IF(LEN(TRIM(F464))&lt;15,"Sin descripción suficiente. ","")&amp;IF(AND(ISERROR(SEARCH("R-0",F464)),ISERROR(SEARCH("CU-",F464))),"Sin ticket. ","")&amp;IF(ISNA(MATCH(E464,Datos!$E$8:$E$22,0)),"Proyecto sin valor hora. ","")&amp;IF(ISNA(MATCH(D464,Datos!$A$8:$A$22,0)),"Persona fuera del equipo. ","")))</f>
        <v/>
      </c>
      <c r="I464" s="21" t="n"/>
      <c r="J464" s="22" t="n"/>
      <c r="K464" s="23">
        <f>IF(G464="","",IF(J464&lt;&gt;"",MIN(J464,G464),IF(OR(I464="Observada",I464="Rechazada"),0,G464)))</f>
        <v/>
      </c>
      <c r="L464" s="24" t="n"/>
      <c r="M464" s="25">
        <f>IF(OR(A464="",D464=""),0,IF(COUNTIFS($A$2:A464,A464,$D$2:D464,D464)=1,1,0))</f>
        <v/>
      </c>
    </row>
    <row r="465">
      <c r="A465" s="26" t="n"/>
      <c r="B465" s="27" t="n"/>
      <c r="C465" s="27" t="n"/>
      <c r="D465" s="28" t="n"/>
      <c r="E465" s="28" t="n"/>
      <c r="F465" s="29" t="n"/>
      <c r="G465" s="30" t="n"/>
      <c r="H465" s="20">
        <f>IF(A465="","",TRIM(IF(WEEKDAY(A465,2)&gt;5,"Fin de semana. ","")&amp;IF(SUMIFS($G$2:$G$601,$A$2:$A$601,A465,$D$2:$D$601,D465)&gt;9,"Más de 9 h en el día. ","")&amp;IF(AND(B465&lt;&gt;"",C465&lt;&gt;"",C465&lt;B465),"Cruza la medianoche. ","")&amp;IF(LEN(TRIM(F465))&lt;15,"Sin descripción suficiente. ","")&amp;IF(AND(ISERROR(SEARCH("R-0",F465)),ISERROR(SEARCH("CU-",F465))),"Sin ticket. ","")&amp;IF(ISNA(MATCH(E465,Datos!$E$8:$E$22,0)),"Proyecto sin valor hora. ","")&amp;IF(ISNA(MATCH(D465,Datos!$A$8:$A$22,0)),"Persona fuera del equipo. ","")))</f>
        <v/>
      </c>
      <c r="I465" s="21" t="n"/>
      <c r="J465" s="22" t="n"/>
      <c r="K465" s="23">
        <f>IF(G465="","",IF(J465&lt;&gt;"",MIN(J465,G465),IF(OR(I465="Observada",I465="Rechazada"),0,G465)))</f>
        <v/>
      </c>
      <c r="L465" s="24" t="n"/>
      <c r="M465" s="25">
        <f>IF(OR(A465="",D465=""),0,IF(COUNTIFS($A$2:A465,A465,$D$2:D465,D465)=1,1,0))</f>
        <v/>
      </c>
    </row>
    <row r="466">
      <c r="A466" s="26" t="n"/>
      <c r="B466" s="27" t="n"/>
      <c r="C466" s="27" t="n"/>
      <c r="D466" s="28" t="n"/>
      <c r="E466" s="28" t="n"/>
      <c r="F466" s="29" t="n"/>
      <c r="G466" s="30" t="n"/>
      <c r="H466" s="20">
        <f>IF(A466="","",TRIM(IF(WEEKDAY(A466,2)&gt;5,"Fin de semana. ","")&amp;IF(SUMIFS($G$2:$G$601,$A$2:$A$601,A466,$D$2:$D$601,D466)&gt;9,"Más de 9 h en el día. ","")&amp;IF(AND(B466&lt;&gt;"",C466&lt;&gt;"",C466&lt;B466),"Cruza la medianoche. ","")&amp;IF(LEN(TRIM(F466))&lt;15,"Sin descripción suficiente. ","")&amp;IF(AND(ISERROR(SEARCH("R-0",F466)),ISERROR(SEARCH("CU-",F466))),"Sin ticket. ","")&amp;IF(ISNA(MATCH(E466,Datos!$E$8:$E$22,0)),"Proyecto sin valor hora. ","")&amp;IF(ISNA(MATCH(D466,Datos!$A$8:$A$22,0)),"Persona fuera del equipo. ","")))</f>
        <v/>
      </c>
      <c r="I466" s="21" t="n"/>
      <c r="J466" s="22" t="n"/>
      <c r="K466" s="23">
        <f>IF(G466="","",IF(J466&lt;&gt;"",MIN(J466,G466),IF(OR(I466="Observada",I466="Rechazada"),0,G466)))</f>
        <v/>
      </c>
      <c r="L466" s="24" t="n"/>
      <c r="M466" s="25">
        <f>IF(OR(A466="",D466=""),0,IF(COUNTIFS($A$2:A466,A466,$D$2:D466,D466)=1,1,0))</f>
        <v/>
      </c>
    </row>
    <row r="467">
      <c r="A467" s="26" t="n"/>
      <c r="B467" s="27" t="n"/>
      <c r="C467" s="27" t="n"/>
      <c r="D467" s="28" t="n"/>
      <c r="E467" s="28" t="n"/>
      <c r="F467" s="29" t="n"/>
      <c r="G467" s="30" t="n"/>
      <c r="H467" s="20">
        <f>IF(A467="","",TRIM(IF(WEEKDAY(A467,2)&gt;5,"Fin de semana. ","")&amp;IF(SUMIFS($G$2:$G$601,$A$2:$A$601,A467,$D$2:$D$601,D467)&gt;9,"Más de 9 h en el día. ","")&amp;IF(AND(B467&lt;&gt;"",C467&lt;&gt;"",C467&lt;B467),"Cruza la medianoche. ","")&amp;IF(LEN(TRIM(F467))&lt;15,"Sin descripción suficiente. ","")&amp;IF(AND(ISERROR(SEARCH("R-0",F467)),ISERROR(SEARCH("CU-",F467))),"Sin ticket. ","")&amp;IF(ISNA(MATCH(E467,Datos!$E$8:$E$22,0)),"Proyecto sin valor hora. ","")&amp;IF(ISNA(MATCH(D467,Datos!$A$8:$A$22,0)),"Persona fuera del equipo. ","")))</f>
        <v/>
      </c>
      <c r="I467" s="21" t="n"/>
      <c r="J467" s="22" t="n"/>
      <c r="K467" s="23">
        <f>IF(G467="","",IF(J467&lt;&gt;"",MIN(J467,G467),IF(OR(I467="Observada",I467="Rechazada"),0,G467)))</f>
        <v/>
      </c>
      <c r="L467" s="24" t="n"/>
      <c r="M467" s="25">
        <f>IF(OR(A467="",D467=""),0,IF(COUNTIFS($A$2:A467,A467,$D$2:D467,D467)=1,1,0))</f>
        <v/>
      </c>
    </row>
    <row r="468">
      <c r="A468" s="26" t="n"/>
      <c r="B468" s="27" t="n"/>
      <c r="C468" s="27" t="n"/>
      <c r="D468" s="28" t="n"/>
      <c r="E468" s="28" t="n"/>
      <c r="F468" s="29" t="n"/>
      <c r="G468" s="30" t="n"/>
      <c r="H468" s="20">
        <f>IF(A468="","",TRIM(IF(WEEKDAY(A468,2)&gt;5,"Fin de semana. ","")&amp;IF(SUMIFS($G$2:$G$601,$A$2:$A$601,A468,$D$2:$D$601,D468)&gt;9,"Más de 9 h en el día. ","")&amp;IF(AND(B468&lt;&gt;"",C468&lt;&gt;"",C468&lt;B468),"Cruza la medianoche. ","")&amp;IF(LEN(TRIM(F468))&lt;15,"Sin descripción suficiente. ","")&amp;IF(AND(ISERROR(SEARCH("R-0",F468)),ISERROR(SEARCH("CU-",F468))),"Sin ticket. ","")&amp;IF(ISNA(MATCH(E468,Datos!$E$8:$E$22,0)),"Proyecto sin valor hora. ","")&amp;IF(ISNA(MATCH(D468,Datos!$A$8:$A$22,0)),"Persona fuera del equipo. ","")))</f>
        <v/>
      </c>
      <c r="I468" s="21" t="n"/>
      <c r="J468" s="22" t="n"/>
      <c r="K468" s="23">
        <f>IF(G468="","",IF(J468&lt;&gt;"",MIN(J468,G468),IF(OR(I468="Observada",I468="Rechazada"),0,G468)))</f>
        <v/>
      </c>
      <c r="L468" s="24" t="n"/>
      <c r="M468" s="25">
        <f>IF(OR(A468="",D468=""),0,IF(COUNTIFS($A$2:A468,A468,$D$2:D468,D468)=1,1,0))</f>
        <v/>
      </c>
    </row>
    <row r="469">
      <c r="A469" s="26" t="n"/>
      <c r="B469" s="27" t="n"/>
      <c r="C469" s="27" t="n"/>
      <c r="D469" s="28" t="n"/>
      <c r="E469" s="28" t="n"/>
      <c r="F469" s="29" t="n"/>
      <c r="G469" s="30" t="n"/>
      <c r="H469" s="20">
        <f>IF(A469="","",TRIM(IF(WEEKDAY(A469,2)&gt;5,"Fin de semana. ","")&amp;IF(SUMIFS($G$2:$G$601,$A$2:$A$601,A469,$D$2:$D$601,D469)&gt;9,"Más de 9 h en el día. ","")&amp;IF(AND(B469&lt;&gt;"",C469&lt;&gt;"",C469&lt;B469),"Cruza la medianoche. ","")&amp;IF(LEN(TRIM(F469))&lt;15,"Sin descripción suficiente. ","")&amp;IF(AND(ISERROR(SEARCH("R-0",F469)),ISERROR(SEARCH("CU-",F469))),"Sin ticket. ","")&amp;IF(ISNA(MATCH(E469,Datos!$E$8:$E$22,0)),"Proyecto sin valor hora. ","")&amp;IF(ISNA(MATCH(D469,Datos!$A$8:$A$22,0)),"Persona fuera del equipo. ","")))</f>
        <v/>
      </c>
      <c r="I469" s="21" t="n"/>
      <c r="J469" s="22" t="n"/>
      <c r="K469" s="23">
        <f>IF(G469="","",IF(J469&lt;&gt;"",MIN(J469,G469),IF(OR(I469="Observada",I469="Rechazada"),0,G469)))</f>
        <v/>
      </c>
      <c r="L469" s="24" t="n"/>
      <c r="M469" s="25">
        <f>IF(OR(A469="",D469=""),0,IF(COUNTIFS($A$2:A469,A469,$D$2:D469,D469)=1,1,0))</f>
        <v/>
      </c>
    </row>
    <row r="470">
      <c r="A470" s="26" t="n"/>
      <c r="B470" s="27" t="n"/>
      <c r="C470" s="27" t="n"/>
      <c r="D470" s="28" t="n"/>
      <c r="E470" s="28" t="n"/>
      <c r="F470" s="29" t="n"/>
      <c r="G470" s="30" t="n"/>
      <c r="H470" s="20">
        <f>IF(A470="","",TRIM(IF(WEEKDAY(A470,2)&gt;5,"Fin de semana. ","")&amp;IF(SUMIFS($G$2:$G$601,$A$2:$A$601,A470,$D$2:$D$601,D470)&gt;9,"Más de 9 h en el día. ","")&amp;IF(AND(B470&lt;&gt;"",C470&lt;&gt;"",C470&lt;B470),"Cruza la medianoche. ","")&amp;IF(LEN(TRIM(F470))&lt;15,"Sin descripción suficiente. ","")&amp;IF(AND(ISERROR(SEARCH("R-0",F470)),ISERROR(SEARCH("CU-",F470))),"Sin ticket. ","")&amp;IF(ISNA(MATCH(E470,Datos!$E$8:$E$22,0)),"Proyecto sin valor hora. ","")&amp;IF(ISNA(MATCH(D470,Datos!$A$8:$A$22,0)),"Persona fuera del equipo. ","")))</f>
        <v/>
      </c>
      <c r="I470" s="21" t="n"/>
      <c r="J470" s="22" t="n"/>
      <c r="K470" s="23">
        <f>IF(G470="","",IF(J470&lt;&gt;"",MIN(J470,G470),IF(OR(I470="Observada",I470="Rechazada"),0,G470)))</f>
        <v/>
      </c>
      <c r="L470" s="24" t="n"/>
      <c r="M470" s="25">
        <f>IF(OR(A470="",D470=""),0,IF(COUNTIFS($A$2:A470,A470,$D$2:D470,D470)=1,1,0))</f>
        <v/>
      </c>
    </row>
    <row r="471">
      <c r="A471" s="26" t="n"/>
      <c r="B471" s="27" t="n"/>
      <c r="C471" s="27" t="n"/>
      <c r="D471" s="28" t="n"/>
      <c r="E471" s="28" t="n"/>
      <c r="F471" s="29" t="n"/>
      <c r="G471" s="30" t="n"/>
      <c r="H471" s="20">
        <f>IF(A471="","",TRIM(IF(WEEKDAY(A471,2)&gt;5,"Fin de semana. ","")&amp;IF(SUMIFS($G$2:$G$601,$A$2:$A$601,A471,$D$2:$D$601,D471)&gt;9,"Más de 9 h en el día. ","")&amp;IF(AND(B471&lt;&gt;"",C471&lt;&gt;"",C471&lt;B471),"Cruza la medianoche. ","")&amp;IF(LEN(TRIM(F471))&lt;15,"Sin descripción suficiente. ","")&amp;IF(AND(ISERROR(SEARCH("R-0",F471)),ISERROR(SEARCH("CU-",F471))),"Sin ticket. ","")&amp;IF(ISNA(MATCH(E471,Datos!$E$8:$E$22,0)),"Proyecto sin valor hora. ","")&amp;IF(ISNA(MATCH(D471,Datos!$A$8:$A$22,0)),"Persona fuera del equipo. ","")))</f>
        <v/>
      </c>
      <c r="I471" s="21" t="n"/>
      <c r="J471" s="22" t="n"/>
      <c r="K471" s="23">
        <f>IF(G471="","",IF(J471&lt;&gt;"",MIN(J471,G471),IF(OR(I471="Observada",I471="Rechazada"),0,G471)))</f>
        <v/>
      </c>
      <c r="L471" s="24" t="n"/>
      <c r="M471" s="25">
        <f>IF(OR(A471="",D471=""),0,IF(COUNTIFS($A$2:A471,A471,$D$2:D471,D471)=1,1,0))</f>
        <v/>
      </c>
    </row>
    <row r="472">
      <c r="A472" s="26" t="n"/>
      <c r="B472" s="27" t="n"/>
      <c r="C472" s="27" t="n"/>
      <c r="D472" s="28" t="n"/>
      <c r="E472" s="28" t="n"/>
      <c r="F472" s="29" t="n"/>
      <c r="G472" s="30" t="n"/>
      <c r="H472" s="20">
        <f>IF(A472="","",TRIM(IF(WEEKDAY(A472,2)&gt;5,"Fin de semana. ","")&amp;IF(SUMIFS($G$2:$G$601,$A$2:$A$601,A472,$D$2:$D$601,D472)&gt;9,"Más de 9 h en el día. ","")&amp;IF(AND(B472&lt;&gt;"",C472&lt;&gt;"",C472&lt;B472),"Cruza la medianoche. ","")&amp;IF(LEN(TRIM(F472))&lt;15,"Sin descripción suficiente. ","")&amp;IF(AND(ISERROR(SEARCH("R-0",F472)),ISERROR(SEARCH("CU-",F472))),"Sin ticket. ","")&amp;IF(ISNA(MATCH(E472,Datos!$E$8:$E$22,0)),"Proyecto sin valor hora. ","")&amp;IF(ISNA(MATCH(D472,Datos!$A$8:$A$22,0)),"Persona fuera del equipo. ","")))</f>
        <v/>
      </c>
      <c r="I472" s="21" t="n"/>
      <c r="J472" s="22" t="n"/>
      <c r="K472" s="23">
        <f>IF(G472="","",IF(J472&lt;&gt;"",MIN(J472,G472),IF(OR(I472="Observada",I472="Rechazada"),0,G472)))</f>
        <v/>
      </c>
      <c r="L472" s="24" t="n"/>
      <c r="M472" s="25">
        <f>IF(OR(A472="",D472=""),0,IF(COUNTIFS($A$2:A472,A472,$D$2:D472,D472)=1,1,0))</f>
        <v/>
      </c>
    </row>
    <row r="473">
      <c r="A473" s="26" t="n"/>
      <c r="B473" s="27" t="n"/>
      <c r="C473" s="27" t="n"/>
      <c r="D473" s="28" t="n"/>
      <c r="E473" s="28" t="n"/>
      <c r="F473" s="29" t="n"/>
      <c r="G473" s="30" t="n"/>
      <c r="H473" s="20">
        <f>IF(A473="","",TRIM(IF(WEEKDAY(A473,2)&gt;5,"Fin de semana. ","")&amp;IF(SUMIFS($G$2:$G$601,$A$2:$A$601,A473,$D$2:$D$601,D473)&gt;9,"Más de 9 h en el día. ","")&amp;IF(AND(B473&lt;&gt;"",C473&lt;&gt;"",C473&lt;B473),"Cruza la medianoche. ","")&amp;IF(LEN(TRIM(F473))&lt;15,"Sin descripción suficiente. ","")&amp;IF(AND(ISERROR(SEARCH("R-0",F473)),ISERROR(SEARCH("CU-",F473))),"Sin ticket. ","")&amp;IF(ISNA(MATCH(E473,Datos!$E$8:$E$22,0)),"Proyecto sin valor hora. ","")&amp;IF(ISNA(MATCH(D473,Datos!$A$8:$A$22,0)),"Persona fuera del equipo. ","")))</f>
        <v/>
      </c>
      <c r="I473" s="21" t="n"/>
      <c r="J473" s="22" t="n"/>
      <c r="K473" s="23">
        <f>IF(G473="","",IF(J473&lt;&gt;"",MIN(J473,G473),IF(OR(I473="Observada",I473="Rechazada"),0,G473)))</f>
        <v/>
      </c>
      <c r="L473" s="24" t="n"/>
      <c r="M473" s="25">
        <f>IF(OR(A473="",D473=""),0,IF(COUNTIFS($A$2:A473,A473,$D$2:D473,D473)=1,1,0))</f>
        <v/>
      </c>
    </row>
    <row r="474">
      <c r="A474" s="26" t="n"/>
      <c r="B474" s="27" t="n"/>
      <c r="C474" s="27" t="n"/>
      <c r="D474" s="28" t="n"/>
      <c r="E474" s="28" t="n"/>
      <c r="F474" s="29" t="n"/>
      <c r="G474" s="30" t="n"/>
      <c r="H474" s="20">
        <f>IF(A474="","",TRIM(IF(WEEKDAY(A474,2)&gt;5,"Fin de semana. ","")&amp;IF(SUMIFS($G$2:$G$601,$A$2:$A$601,A474,$D$2:$D$601,D474)&gt;9,"Más de 9 h en el día. ","")&amp;IF(AND(B474&lt;&gt;"",C474&lt;&gt;"",C474&lt;B474),"Cruza la medianoche. ","")&amp;IF(LEN(TRIM(F474))&lt;15,"Sin descripción suficiente. ","")&amp;IF(AND(ISERROR(SEARCH("R-0",F474)),ISERROR(SEARCH("CU-",F474))),"Sin ticket. ","")&amp;IF(ISNA(MATCH(E474,Datos!$E$8:$E$22,0)),"Proyecto sin valor hora. ","")&amp;IF(ISNA(MATCH(D474,Datos!$A$8:$A$22,0)),"Persona fuera del equipo. ","")))</f>
        <v/>
      </c>
      <c r="I474" s="21" t="n"/>
      <c r="J474" s="22" t="n"/>
      <c r="K474" s="23">
        <f>IF(G474="","",IF(J474&lt;&gt;"",MIN(J474,G474),IF(OR(I474="Observada",I474="Rechazada"),0,G474)))</f>
        <v/>
      </c>
      <c r="L474" s="24" t="n"/>
      <c r="M474" s="25">
        <f>IF(OR(A474="",D474=""),0,IF(COUNTIFS($A$2:A474,A474,$D$2:D474,D474)=1,1,0))</f>
        <v/>
      </c>
    </row>
    <row r="475">
      <c r="A475" s="26" t="n"/>
      <c r="B475" s="27" t="n"/>
      <c r="C475" s="27" t="n"/>
      <c r="D475" s="28" t="n"/>
      <c r="E475" s="28" t="n"/>
      <c r="F475" s="29" t="n"/>
      <c r="G475" s="30" t="n"/>
      <c r="H475" s="20">
        <f>IF(A475="","",TRIM(IF(WEEKDAY(A475,2)&gt;5,"Fin de semana. ","")&amp;IF(SUMIFS($G$2:$G$601,$A$2:$A$601,A475,$D$2:$D$601,D475)&gt;9,"Más de 9 h en el día. ","")&amp;IF(AND(B475&lt;&gt;"",C475&lt;&gt;"",C475&lt;B475),"Cruza la medianoche. ","")&amp;IF(LEN(TRIM(F475))&lt;15,"Sin descripción suficiente. ","")&amp;IF(AND(ISERROR(SEARCH("R-0",F475)),ISERROR(SEARCH("CU-",F475))),"Sin ticket. ","")&amp;IF(ISNA(MATCH(E475,Datos!$E$8:$E$22,0)),"Proyecto sin valor hora. ","")&amp;IF(ISNA(MATCH(D475,Datos!$A$8:$A$22,0)),"Persona fuera del equipo. ","")))</f>
        <v/>
      </c>
      <c r="I475" s="21" t="n"/>
      <c r="J475" s="22" t="n"/>
      <c r="K475" s="23">
        <f>IF(G475="","",IF(J475&lt;&gt;"",MIN(J475,G475),IF(OR(I475="Observada",I475="Rechazada"),0,G475)))</f>
        <v/>
      </c>
      <c r="L475" s="24" t="n"/>
      <c r="M475" s="25">
        <f>IF(OR(A475="",D475=""),0,IF(COUNTIFS($A$2:A475,A475,$D$2:D475,D475)=1,1,0))</f>
        <v/>
      </c>
    </row>
    <row r="476">
      <c r="A476" s="26" t="n"/>
      <c r="B476" s="27" t="n"/>
      <c r="C476" s="27" t="n"/>
      <c r="D476" s="28" t="n"/>
      <c r="E476" s="28" t="n"/>
      <c r="F476" s="29" t="n"/>
      <c r="G476" s="30" t="n"/>
      <c r="H476" s="20">
        <f>IF(A476="","",TRIM(IF(WEEKDAY(A476,2)&gt;5,"Fin de semana. ","")&amp;IF(SUMIFS($G$2:$G$601,$A$2:$A$601,A476,$D$2:$D$601,D476)&gt;9,"Más de 9 h en el día. ","")&amp;IF(AND(B476&lt;&gt;"",C476&lt;&gt;"",C476&lt;B476),"Cruza la medianoche. ","")&amp;IF(LEN(TRIM(F476))&lt;15,"Sin descripción suficiente. ","")&amp;IF(AND(ISERROR(SEARCH("R-0",F476)),ISERROR(SEARCH("CU-",F476))),"Sin ticket. ","")&amp;IF(ISNA(MATCH(E476,Datos!$E$8:$E$22,0)),"Proyecto sin valor hora. ","")&amp;IF(ISNA(MATCH(D476,Datos!$A$8:$A$22,0)),"Persona fuera del equipo. ","")))</f>
        <v/>
      </c>
      <c r="I476" s="21" t="n"/>
      <c r="J476" s="22" t="n"/>
      <c r="K476" s="23">
        <f>IF(G476="","",IF(J476&lt;&gt;"",MIN(J476,G476),IF(OR(I476="Observada",I476="Rechazada"),0,G476)))</f>
        <v/>
      </c>
      <c r="L476" s="24" t="n"/>
      <c r="M476" s="25">
        <f>IF(OR(A476="",D476=""),0,IF(COUNTIFS($A$2:A476,A476,$D$2:D476,D476)=1,1,0))</f>
        <v/>
      </c>
    </row>
    <row r="477">
      <c r="A477" s="26" t="n"/>
      <c r="B477" s="27" t="n"/>
      <c r="C477" s="27" t="n"/>
      <c r="D477" s="28" t="n"/>
      <c r="E477" s="28" t="n"/>
      <c r="F477" s="29" t="n"/>
      <c r="G477" s="30" t="n"/>
      <c r="H477" s="20">
        <f>IF(A477="","",TRIM(IF(WEEKDAY(A477,2)&gt;5,"Fin de semana. ","")&amp;IF(SUMIFS($G$2:$G$601,$A$2:$A$601,A477,$D$2:$D$601,D477)&gt;9,"Más de 9 h en el día. ","")&amp;IF(AND(B477&lt;&gt;"",C477&lt;&gt;"",C477&lt;B477),"Cruza la medianoche. ","")&amp;IF(LEN(TRIM(F477))&lt;15,"Sin descripción suficiente. ","")&amp;IF(AND(ISERROR(SEARCH("R-0",F477)),ISERROR(SEARCH("CU-",F477))),"Sin ticket. ","")&amp;IF(ISNA(MATCH(E477,Datos!$E$8:$E$22,0)),"Proyecto sin valor hora. ","")&amp;IF(ISNA(MATCH(D477,Datos!$A$8:$A$22,0)),"Persona fuera del equipo. ","")))</f>
        <v/>
      </c>
      <c r="I477" s="21" t="n"/>
      <c r="J477" s="22" t="n"/>
      <c r="K477" s="23">
        <f>IF(G477="","",IF(J477&lt;&gt;"",MIN(J477,G477),IF(OR(I477="Observada",I477="Rechazada"),0,G477)))</f>
        <v/>
      </c>
      <c r="L477" s="24" t="n"/>
      <c r="M477" s="25">
        <f>IF(OR(A477="",D477=""),0,IF(COUNTIFS($A$2:A477,A477,$D$2:D477,D477)=1,1,0))</f>
        <v/>
      </c>
    </row>
    <row r="478">
      <c r="A478" s="26" t="n"/>
      <c r="B478" s="27" t="n"/>
      <c r="C478" s="27" t="n"/>
      <c r="D478" s="28" t="n"/>
      <c r="E478" s="28" t="n"/>
      <c r="F478" s="29" t="n"/>
      <c r="G478" s="30" t="n"/>
      <c r="H478" s="20">
        <f>IF(A478="","",TRIM(IF(WEEKDAY(A478,2)&gt;5,"Fin de semana. ","")&amp;IF(SUMIFS($G$2:$G$601,$A$2:$A$601,A478,$D$2:$D$601,D478)&gt;9,"Más de 9 h en el día. ","")&amp;IF(AND(B478&lt;&gt;"",C478&lt;&gt;"",C478&lt;B478),"Cruza la medianoche. ","")&amp;IF(LEN(TRIM(F478))&lt;15,"Sin descripción suficiente. ","")&amp;IF(AND(ISERROR(SEARCH("R-0",F478)),ISERROR(SEARCH("CU-",F478))),"Sin ticket. ","")&amp;IF(ISNA(MATCH(E478,Datos!$E$8:$E$22,0)),"Proyecto sin valor hora. ","")&amp;IF(ISNA(MATCH(D478,Datos!$A$8:$A$22,0)),"Persona fuera del equipo. ","")))</f>
        <v/>
      </c>
      <c r="I478" s="21" t="n"/>
      <c r="J478" s="22" t="n"/>
      <c r="K478" s="23">
        <f>IF(G478="","",IF(J478&lt;&gt;"",MIN(J478,G478),IF(OR(I478="Observada",I478="Rechazada"),0,G478)))</f>
        <v/>
      </c>
      <c r="L478" s="24" t="n"/>
      <c r="M478" s="25">
        <f>IF(OR(A478="",D478=""),0,IF(COUNTIFS($A$2:A478,A478,$D$2:D478,D478)=1,1,0))</f>
        <v/>
      </c>
    </row>
    <row r="479">
      <c r="A479" s="26" t="n"/>
      <c r="B479" s="27" t="n"/>
      <c r="C479" s="27" t="n"/>
      <c r="D479" s="28" t="n"/>
      <c r="E479" s="28" t="n"/>
      <c r="F479" s="29" t="n"/>
      <c r="G479" s="30" t="n"/>
      <c r="H479" s="20">
        <f>IF(A479="","",TRIM(IF(WEEKDAY(A479,2)&gt;5,"Fin de semana. ","")&amp;IF(SUMIFS($G$2:$G$601,$A$2:$A$601,A479,$D$2:$D$601,D479)&gt;9,"Más de 9 h en el día. ","")&amp;IF(AND(B479&lt;&gt;"",C479&lt;&gt;"",C479&lt;B479),"Cruza la medianoche. ","")&amp;IF(LEN(TRIM(F479))&lt;15,"Sin descripción suficiente. ","")&amp;IF(AND(ISERROR(SEARCH("R-0",F479)),ISERROR(SEARCH("CU-",F479))),"Sin ticket. ","")&amp;IF(ISNA(MATCH(E479,Datos!$E$8:$E$22,0)),"Proyecto sin valor hora. ","")&amp;IF(ISNA(MATCH(D479,Datos!$A$8:$A$22,0)),"Persona fuera del equipo. ","")))</f>
        <v/>
      </c>
      <c r="I479" s="21" t="n"/>
      <c r="J479" s="22" t="n"/>
      <c r="K479" s="23">
        <f>IF(G479="","",IF(J479&lt;&gt;"",MIN(J479,G479),IF(OR(I479="Observada",I479="Rechazada"),0,G479)))</f>
        <v/>
      </c>
      <c r="L479" s="24" t="n"/>
      <c r="M479" s="25">
        <f>IF(OR(A479="",D479=""),0,IF(COUNTIFS($A$2:A479,A479,$D$2:D479,D479)=1,1,0))</f>
        <v/>
      </c>
    </row>
    <row r="480">
      <c r="A480" s="26" t="n"/>
      <c r="B480" s="27" t="n"/>
      <c r="C480" s="27" t="n"/>
      <c r="D480" s="28" t="n"/>
      <c r="E480" s="28" t="n"/>
      <c r="F480" s="29" t="n"/>
      <c r="G480" s="30" t="n"/>
      <c r="H480" s="20">
        <f>IF(A480="","",TRIM(IF(WEEKDAY(A480,2)&gt;5,"Fin de semana. ","")&amp;IF(SUMIFS($G$2:$G$601,$A$2:$A$601,A480,$D$2:$D$601,D480)&gt;9,"Más de 9 h en el día. ","")&amp;IF(AND(B480&lt;&gt;"",C480&lt;&gt;"",C480&lt;B480),"Cruza la medianoche. ","")&amp;IF(LEN(TRIM(F480))&lt;15,"Sin descripción suficiente. ","")&amp;IF(AND(ISERROR(SEARCH("R-0",F480)),ISERROR(SEARCH("CU-",F480))),"Sin ticket. ","")&amp;IF(ISNA(MATCH(E480,Datos!$E$8:$E$22,0)),"Proyecto sin valor hora. ","")&amp;IF(ISNA(MATCH(D480,Datos!$A$8:$A$22,0)),"Persona fuera del equipo. ","")))</f>
        <v/>
      </c>
      <c r="I480" s="21" t="n"/>
      <c r="J480" s="22" t="n"/>
      <c r="K480" s="23">
        <f>IF(G480="","",IF(J480&lt;&gt;"",MIN(J480,G480),IF(OR(I480="Observada",I480="Rechazada"),0,G480)))</f>
        <v/>
      </c>
      <c r="L480" s="24" t="n"/>
      <c r="M480" s="25">
        <f>IF(OR(A480="",D480=""),0,IF(COUNTIFS($A$2:A480,A480,$D$2:D480,D480)=1,1,0))</f>
        <v/>
      </c>
    </row>
    <row r="481">
      <c r="A481" s="26" t="n"/>
      <c r="B481" s="27" t="n"/>
      <c r="C481" s="27" t="n"/>
      <c r="D481" s="28" t="n"/>
      <c r="E481" s="28" t="n"/>
      <c r="F481" s="29" t="n"/>
      <c r="G481" s="30" t="n"/>
      <c r="H481" s="20">
        <f>IF(A481="","",TRIM(IF(WEEKDAY(A481,2)&gt;5,"Fin de semana. ","")&amp;IF(SUMIFS($G$2:$G$601,$A$2:$A$601,A481,$D$2:$D$601,D481)&gt;9,"Más de 9 h en el día. ","")&amp;IF(AND(B481&lt;&gt;"",C481&lt;&gt;"",C481&lt;B481),"Cruza la medianoche. ","")&amp;IF(LEN(TRIM(F481))&lt;15,"Sin descripción suficiente. ","")&amp;IF(AND(ISERROR(SEARCH("R-0",F481)),ISERROR(SEARCH("CU-",F481))),"Sin ticket. ","")&amp;IF(ISNA(MATCH(E481,Datos!$E$8:$E$22,0)),"Proyecto sin valor hora. ","")&amp;IF(ISNA(MATCH(D481,Datos!$A$8:$A$22,0)),"Persona fuera del equipo. ","")))</f>
        <v/>
      </c>
      <c r="I481" s="21" t="n"/>
      <c r="J481" s="22" t="n"/>
      <c r="K481" s="23">
        <f>IF(G481="","",IF(J481&lt;&gt;"",MIN(J481,G481),IF(OR(I481="Observada",I481="Rechazada"),0,G481)))</f>
        <v/>
      </c>
      <c r="L481" s="24" t="n"/>
      <c r="M481" s="25">
        <f>IF(OR(A481="",D481=""),0,IF(COUNTIFS($A$2:A481,A481,$D$2:D481,D481)=1,1,0))</f>
        <v/>
      </c>
    </row>
    <row r="482">
      <c r="A482" s="26" t="n"/>
      <c r="B482" s="27" t="n"/>
      <c r="C482" s="27" t="n"/>
      <c r="D482" s="28" t="n"/>
      <c r="E482" s="28" t="n"/>
      <c r="F482" s="29" t="n"/>
      <c r="G482" s="30" t="n"/>
      <c r="H482" s="20">
        <f>IF(A482="","",TRIM(IF(WEEKDAY(A482,2)&gt;5,"Fin de semana. ","")&amp;IF(SUMIFS($G$2:$G$601,$A$2:$A$601,A482,$D$2:$D$601,D482)&gt;9,"Más de 9 h en el día. ","")&amp;IF(AND(B482&lt;&gt;"",C482&lt;&gt;"",C482&lt;B482),"Cruza la medianoche. ","")&amp;IF(LEN(TRIM(F482))&lt;15,"Sin descripción suficiente. ","")&amp;IF(AND(ISERROR(SEARCH("R-0",F482)),ISERROR(SEARCH("CU-",F482))),"Sin ticket. ","")&amp;IF(ISNA(MATCH(E482,Datos!$E$8:$E$22,0)),"Proyecto sin valor hora. ","")&amp;IF(ISNA(MATCH(D482,Datos!$A$8:$A$22,0)),"Persona fuera del equipo. ","")))</f>
        <v/>
      </c>
      <c r="I482" s="21" t="n"/>
      <c r="J482" s="22" t="n"/>
      <c r="K482" s="23">
        <f>IF(G482="","",IF(J482&lt;&gt;"",MIN(J482,G482),IF(OR(I482="Observada",I482="Rechazada"),0,G482)))</f>
        <v/>
      </c>
      <c r="L482" s="24" t="n"/>
      <c r="M482" s="25">
        <f>IF(OR(A482="",D482=""),0,IF(COUNTIFS($A$2:A482,A482,$D$2:D482,D482)=1,1,0))</f>
        <v/>
      </c>
    </row>
    <row r="483">
      <c r="A483" s="26" t="n"/>
      <c r="B483" s="27" t="n"/>
      <c r="C483" s="27" t="n"/>
      <c r="D483" s="28" t="n"/>
      <c r="E483" s="28" t="n"/>
      <c r="F483" s="29" t="n"/>
      <c r="G483" s="30" t="n"/>
      <c r="H483" s="20">
        <f>IF(A483="","",TRIM(IF(WEEKDAY(A483,2)&gt;5,"Fin de semana. ","")&amp;IF(SUMIFS($G$2:$G$601,$A$2:$A$601,A483,$D$2:$D$601,D483)&gt;9,"Más de 9 h en el día. ","")&amp;IF(AND(B483&lt;&gt;"",C483&lt;&gt;"",C483&lt;B483),"Cruza la medianoche. ","")&amp;IF(LEN(TRIM(F483))&lt;15,"Sin descripción suficiente. ","")&amp;IF(AND(ISERROR(SEARCH("R-0",F483)),ISERROR(SEARCH("CU-",F483))),"Sin ticket. ","")&amp;IF(ISNA(MATCH(E483,Datos!$E$8:$E$22,0)),"Proyecto sin valor hora. ","")&amp;IF(ISNA(MATCH(D483,Datos!$A$8:$A$22,0)),"Persona fuera del equipo. ","")))</f>
        <v/>
      </c>
      <c r="I483" s="21" t="n"/>
      <c r="J483" s="22" t="n"/>
      <c r="K483" s="23">
        <f>IF(G483="","",IF(J483&lt;&gt;"",MIN(J483,G483),IF(OR(I483="Observada",I483="Rechazada"),0,G483)))</f>
        <v/>
      </c>
      <c r="L483" s="24" t="n"/>
      <c r="M483" s="25">
        <f>IF(OR(A483="",D483=""),0,IF(COUNTIFS($A$2:A483,A483,$D$2:D483,D483)=1,1,0))</f>
        <v/>
      </c>
    </row>
    <row r="484">
      <c r="A484" s="26" t="n"/>
      <c r="B484" s="27" t="n"/>
      <c r="C484" s="27" t="n"/>
      <c r="D484" s="28" t="n"/>
      <c r="E484" s="28" t="n"/>
      <c r="F484" s="29" t="n"/>
      <c r="G484" s="30" t="n"/>
      <c r="H484" s="20">
        <f>IF(A484="","",TRIM(IF(WEEKDAY(A484,2)&gt;5,"Fin de semana. ","")&amp;IF(SUMIFS($G$2:$G$601,$A$2:$A$601,A484,$D$2:$D$601,D484)&gt;9,"Más de 9 h en el día. ","")&amp;IF(AND(B484&lt;&gt;"",C484&lt;&gt;"",C484&lt;B484),"Cruza la medianoche. ","")&amp;IF(LEN(TRIM(F484))&lt;15,"Sin descripción suficiente. ","")&amp;IF(AND(ISERROR(SEARCH("R-0",F484)),ISERROR(SEARCH("CU-",F484))),"Sin ticket. ","")&amp;IF(ISNA(MATCH(E484,Datos!$E$8:$E$22,0)),"Proyecto sin valor hora. ","")&amp;IF(ISNA(MATCH(D484,Datos!$A$8:$A$22,0)),"Persona fuera del equipo. ","")))</f>
        <v/>
      </c>
      <c r="I484" s="21" t="n"/>
      <c r="J484" s="22" t="n"/>
      <c r="K484" s="23">
        <f>IF(G484="","",IF(J484&lt;&gt;"",MIN(J484,G484),IF(OR(I484="Observada",I484="Rechazada"),0,G484)))</f>
        <v/>
      </c>
      <c r="L484" s="24" t="n"/>
      <c r="M484" s="25">
        <f>IF(OR(A484="",D484=""),0,IF(COUNTIFS($A$2:A484,A484,$D$2:D484,D484)=1,1,0))</f>
        <v/>
      </c>
    </row>
    <row r="485">
      <c r="A485" s="26" t="n"/>
      <c r="B485" s="27" t="n"/>
      <c r="C485" s="27" t="n"/>
      <c r="D485" s="28" t="n"/>
      <c r="E485" s="28" t="n"/>
      <c r="F485" s="29" t="n"/>
      <c r="G485" s="30" t="n"/>
      <c r="H485" s="20">
        <f>IF(A485="","",TRIM(IF(WEEKDAY(A485,2)&gt;5,"Fin de semana. ","")&amp;IF(SUMIFS($G$2:$G$601,$A$2:$A$601,A485,$D$2:$D$601,D485)&gt;9,"Más de 9 h en el día. ","")&amp;IF(AND(B485&lt;&gt;"",C485&lt;&gt;"",C485&lt;B485),"Cruza la medianoche. ","")&amp;IF(LEN(TRIM(F485))&lt;15,"Sin descripción suficiente. ","")&amp;IF(AND(ISERROR(SEARCH("R-0",F485)),ISERROR(SEARCH("CU-",F485))),"Sin ticket. ","")&amp;IF(ISNA(MATCH(E485,Datos!$E$8:$E$22,0)),"Proyecto sin valor hora. ","")&amp;IF(ISNA(MATCH(D485,Datos!$A$8:$A$22,0)),"Persona fuera del equipo. ","")))</f>
        <v/>
      </c>
      <c r="I485" s="21" t="n"/>
      <c r="J485" s="22" t="n"/>
      <c r="K485" s="23">
        <f>IF(G485="","",IF(J485&lt;&gt;"",MIN(J485,G485),IF(OR(I485="Observada",I485="Rechazada"),0,G485)))</f>
        <v/>
      </c>
      <c r="L485" s="24" t="n"/>
      <c r="M485" s="25">
        <f>IF(OR(A485="",D485=""),0,IF(COUNTIFS($A$2:A485,A485,$D$2:D485,D485)=1,1,0))</f>
        <v/>
      </c>
    </row>
    <row r="486">
      <c r="A486" s="26" t="n"/>
      <c r="B486" s="27" t="n"/>
      <c r="C486" s="27" t="n"/>
      <c r="D486" s="28" t="n"/>
      <c r="E486" s="28" t="n"/>
      <c r="F486" s="29" t="n"/>
      <c r="G486" s="30" t="n"/>
      <c r="H486" s="20">
        <f>IF(A486="","",TRIM(IF(WEEKDAY(A486,2)&gt;5,"Fin de semana. ","")&amp;IF(SUMIFS($G$2:$G$601,$A$2:$A$601,A486,$D$2:$D$601,D486)&gt;9,"Más de 9 h en el día. ","")&amp;IF(AND(B486&lt;&gt;"",C486&lt;&gt;"",C486&lt;B486),"Cruza la medianoche. ","")&amp;IF(LEN(TRIM(F486))&lt;15,"Sin descripción suficiente. ","")&amp;IF(AND(ISERROR(SEARCH("R-0",F486)),ISERROR(SEARCH("CU-",F486))),"Sin ticket. ","")&amp;IF(ISNA(MATCH(E486,Datos!$E$8:$E$22,0)),"Proyecto sin valor hora. ","")&amp;IF(ISNA(MATCH(D486,Datos!$A$8:$A$22,0)),"Persona fuera del equipo. ","")))</f>
        <v/>
      </c>
      <c r="I486" s="21" t="n"/>
      <c r="J486" s="22" t="n"/>
      <c r="K486" s="23">
        <f>IF(G486="","",IF(J486&lt;&gt;"",MIN(J486,G486),IF(OR(I486="Observada",I486="Rechazada"),0,G486)))</f>
        <v/>
      </c>
      <c r="L486" s="24" t="n"/>
      <c r="M486" s="25">
        <f>IF(OR(A486="",D486=""),0,IF(COUNTIFS($A$2:A486,A486,$D$2:D486,D486)=1,1,0))</f>
        <v/>
      </c>
    </row>
    <row r="487">
      <c r="A487" s="26" t="n"/>
      <c r="B487" s="27" t="n"/>
      <c r="C487" s="27" t="n"/>
      <c r="D487" s="28" t="n"/>
      <c r="E487" s="28" t="n"/>
      <c r="F487" s="29" t="n"/>
      <c r="G487" s="30" t="n"/>
      <c r="H487" s="20">
        <f>IF(A487="","",TRIM(IF(WEEKDAY(A487,2)&gt;5,"Fin de semana. ","")&amp;IF(SUMIFS($G$2:$G$601,$A$2:$A$601,A487,$D$2:$D$601,D487)&gt;9,"Más de 9 h en el día. ","")&amp;IF(AND(B487&lt;&gt;"",C487&lt;&gt;"",C487&lt;B487),"Cruza la medianoche. ","")&amp;IF(LEN(TRIM(F487))&lt;15,"Sin descripción suficiente. ","")&amp;IF(AND(ISERROR(SEARCH("R-0",F487)),ISERROR(SEARCH("CU-",F487))),"Sin ticket. ","")&amp;IF(ISNA(MATCH(E487,Datos!$E$8:$E$22,0)),"Proyecto sin valor hora. ","")&amp;IF(ISNA(MATCH(D487,Datos!$A$8:$A$22,0)),"Persona fuera del equipo. ","")))</f>
        <v/>
      </c>
      <c r="I487" s="21" t="n"/>
      <c r="J487" s="22" t="n"/>
      <c r="K487" s="23">
        <f>IF(G487="","",IF(J487&lt;&gt;"",MIN(J487,G487),IF(OR(I487="Observada",I487="Rechazada"),0,G487)))</f>
        <v/>
      </c>
      <c r="L487" s="24" t="n"/>
      <c r="M487" s="25">
        <f>IF(OR(A487="",D487=""),0,IF(COUNTIFS($A$2:A487,A487,$D$2:D487,D487)=1,1,0))</f>
        <v/>
      </c>
    </row>
    <row r="488">
      <c r="A488" s="26" t="n"/>
      <c r="B488" s="27" t="n"/>
      <c r="C488" s="27" t="n"/>
      <c r="D488" s="28" t="n"/>
      <c r="E488" s="28" t="n"/>
      <c r="F488" s="29" t="n"/>
      <c r="G488" s="30" t="n"/>
      <c r="H488" s="20">
        <f>IF(A488="","",TRIM(IF(WEEKDAY(A488,2)&gt;5,"Fin de semana. ","")&amp;IF(SUMIFS($G$2:$G$601,$A$2:$A$601,A488,$D$2:$D$601,D488)&gt;9,"Más de 9 h en el día. ","")&amp;IF(AND(B488&lt;&gt;"",C488&lt;&gt;"",C488&lt;B488),"Cruza la medianoche. ","")&amp;IF(LEN(TRIM(F488))&lt;15,"Sin descripción suficiente. ","")&amp;IF(AND(ISERROR(SEARCH("R-0",F488)),ISERROR(SEARCH("CU-",F488))),"Sin ticket. ","")&amp;IF(ISNA(MATCH(E488,Datos!$E$8:$E$22,0)),"Proyecto sin valor hora. ","")&amp;IF(ISNA(MATCH(D488,Datos!$A$8:$A$22,0)),"Persona fuera del equipo. ","")))</f>
        <v/>
      </c>
      <c r="I488" s="21" t="n"/>
      <c r="J488" s="22" t="n"/>
      <c r="K488" s="23">
        <f>IF(G488="","",IF(J488&lt;&gt;"",MIN(J488,G488),IF(OR(I488="Observada",I488="Rechazada"),0,G488)))</f>
        <v/>
      </c>
      <c r="L488" s="24" t="n"/>
      <c r="M488" s="25">
        <f>IF(OR(A488="",D488=""),0,IF(COUNTIFS($A$2:A488,A488,$D$2:D488,D488)=1,1,0))</f>
        <v/>
      </c>
    </row>
    <row r="489">
      <c r="A489" s="26" t="n"/>
      <c r="B489" s="27" t="n"/>
      <c r="C489" s="27" t="n"/>
      <c r="D489" s="28" t="n"/>
      <c r="E489" s="28" t="n"/>
      <c r="F489" s="29" t="n"/>
      <c r="G489" s="30" t="n"/>
      <c r="H489" s="20">
        <f>IF(A489="","",TRIM(IF(WEEKDAY(A489,2)&gt;5,"Fin de semana. ","")&amp;IF(SUMIFS($G$2:$G$601,$A$2:$A$601,A489,$D$2:$D$601,D489)&gt;9,"Más de 9 h en el día. ","")&amp;IF(AND(B489&lt;&gt;"",C489&lt;&gt;"",C489&lt;B489),"Cruza la medianoche. ","")&amp;IF(LEN(TRIM(F489))&lt;15,"Sin descripción suficiente. ","")&amp;IF(AND(ISERROR(SEARCH("R-0",F489)),ISERROR(SEARCH("CU-",F489))),"Sin ticket. ","")&amp;IF(ISNA(MATCH(E489,Datos!$E$8:$E$22,0)),"Proyecto sin valor hora. ","")&amp;IF(ISNA(MATCH(D489,Datos!$A$8:$A$22,0)),"Persona fuera del equipo. ","")))</f>
        <v/>
      </c>
      <c r="I489" s="21" t="n"/>
      <c r="J489" s="22" t="n"/>
      <c r="K489" s="23">
        <f>IF(G489="","",IF(J489&lt;&gt;"",MIN(J489,G489),IF(OR(I489="Observada",I489="Rechazada"),0,G489)))</f>
        <v/>
      </c>
      <c r="L489" s="24" t="n"/>
      <c r="M489" s="25">
        <f>IF(OR(A489="",D489=""),0,IF(COUNTIFS($A$2:A489,A489,$D$2:D489,D489)=1,1,0))</f>
        <v/>
      </c>
    </row>
    <row r="490">
      <c r="A490" s="26" t="n"/>
      <c r="B490" s="27" t="n"/>
      <c r="C490" s="27" t="n"/>
      <c r="D490" s="28" t="n"/>
      <c r="E490" s="28" t="n"/>
      <c r="F490" s="29" t="n"/>
      <c r="G490" s="30" t="n"/>
      <c r="H490" s="20">
        <f>IF(A490="","",TRIM(IF(WEEKDAY(A490,2)&gt;5,"Fin de semana. ","")&amp;IF(SUMIFS($G$2:$G$601,$A$2:$A$601,A490,$D$2:$D$601,D490)&gt;9,"Más de 9 h en el día. ","")&amp;IF(AND(B490&lt;&gt;"",C490&lt;&gt;"",C490&lt;B490),"Cruza la medianoche. ","")&amp;IF(LEN(TRIM(F490))&lt;15,"Sin descripción suficiente. ","")&amp;IF(AND(ISERROR(SEARCH("R-0",F490)),ISERROR(SEARCH("CU-",F490))),"Sin ticket. ","")&amp;IF(ISNA(MATCH(E490,Datos!$E$8:$E$22,0)),"Proyecto sin valor hora. ","")&amp;IF(ISNA(MATCH(D490,Datos!$A$8:$A$22,0)),"Persona fuera del equipo. ","")))</f>
        <v/>
      </c>
      <c r="I490" s="21" t="n"/>
      <c r="J490" s="22" t="n"/>
      <c r="K490" s="23">
        <f>IF(G490="","",IF(J490&lt;&gt;"",MIN(J490,G490),IF(OR(I490="Observada",I490="Rechazada"),0,G490)))</f>
        <v/>
      </c>
      <c r="L490" s="24" t="n"/>
      <c r="M490" s="25">
        <f>IF(OR(A490="",D490=""),0,IF(COUNTIFS($A$2:A490,A490,$D$2:D490,D490)=1,1,0))</f>
        <v/>
      </c>
    </row>
    <row r="491">
      <c r="A491" s="26" t="n"/>
      <c r="B491" s="27" t="n"/>
      <c r="C491" s="27" t="n"/>
      <c r="D491" s="28" t="n"/>
      <c r="E491" s="28" t="n"/>
      <c r="F491" s="29" t="n"/>
      <c r="G491" s="30" t="n"/>
      <c r="H491" s="20">
        <f>IF(A491="","",TRIM(IF(WEEKDAY(A491,2)&gt;5,"Fin de semana. ","")&amp;IF(SUMIFS($G$2:$G$601,$A$2:$A$601,A491,$D$2:$D$601,D491)&gt;9,"Más de 9 h en el día. ","")&amp;IF(AND(B491&lt;&gt;"",C491&lt;&gt;"",C491&lt;B491),"Cruza la medianoche. ","")&amp;IF(LEN(TRIM(F491))&lt;15,"Sin descripción suficiente. ","")&amp;IF(AND(ISERROR(SEARCH("R-0",F491)),ISERROR(SEARCH("CU-",F491))),"Sin ticket. ","")&amp;IF(ISNA(MATCH(E491,Datos!$E$8:$E$22,0)),"Proyecto sin valor hora. ","")&amp;IF(ISNA(MATCH(D491,Datos!$A$8:$A$22,0)),"Persona fuera del equipo. ","")))</f>
        <v/>
      </c>
      <c r="I491" s="21" t="n"/>
      <c r="J491" s="22" t="n"/>
      <c r="K491" s="23">
        <f>IF(G491="","",IF(J491&lt;&gt;"",MIN(J491,G491),IF(OR(I491="Observada",I491="Rechazada"),0,G491)))</f>
        <v/>
      </c>
      <c r="L491" s="24" t="n"/>
      <c r="M491" s="25">
        <f>IF(OR(A491="",D491=""),0,IF(COUNTIFS($A$2:A491,A491,$D$2:D491,D491)=1,1,0))</f>
        <v/>
      </c>
    </row>
    <row r="492">
      <c r="A492" s="26" t="n"/>
      <c r="B492" s="27" t="n"/>
      <c r="C492" s="27" t="n"/>
      <c r="D492" s="28" t="n"/>
      <c r="E492" s="28" t="n"/>
      <c r="F492" s="29" t="n"/>
      <c r="G492" s="30" t="n"/>
      <c r="H492" s="20">
        <f>IF(A492="","",TRIM(IF(WEEKDAY(A492,2)&gt;5,"Fin de semana. ","")&amp;IF(SUMIFS($G$2:$G$601,$A$2:$A$601,A492,$D$2:$D$601,D492)&gt;9,"Más de 9 h en el día. ","")&amp;IF(AND(B492&lt;&gt;"",C492&lt;&gt;"",C492&lt;B492),"Cruza la medianoche. ","")&amp;IF(LEN(TRIM(F492))&lt;15,"Sin descripción suficiente. ","")&amp;IF(AND(ISERROR(SEARCH("R-0",F492)),ISERROR(SEARCH("CU-",F492))),"Sin ticket. ","")&amp;IF(ISNA(MATCH(E492,Datos!$E$8:$E$22,0)),"Proyecto sin valor hora. ","")&amp;IF(ISNA(MATCH(D492,Datos!$A$8:$A$22,0)),"Persona fuera del equipo. ","")))</f>
        <v/>
      </c>
      <c r="I492" s="21" t="n"/>
      <c r="J492" s="22" t="n"/>
      <c r="K492" s="23">
        <f>IF(G492="","",IF(J492&lt;&gt;"",MIN(J492,G492),IF(OR(I492="Observada",I492="Rechazada"),0,G492)))</f>
        <v/>
      </c>
      <c r="L492" s="24" t="n"/>
      <c r="M492" s="25">
        <f>IF(OR(A492="",D492=""),0,IF(COUNTIFS($A$2:A492,A492,$D$2:D492,D492)=1,1,0))</f>
        <v/>
      </c>
    </row>
    <row r="493">
      <c r="A493" s="26" t="n"/>
      <c r="B493" s="27" t="n"/>
      <c r="C493" s="27" t="n"/>
      <c r="D493" s="28" t="n"/>
      <c r="E493" s="28" t="n"/>
      <c r="F493" s="29" t="n"/>
      <c r="G493" s="30" t="n"/>
      <c r="H493" s="20">
        <f>IF(A493="","",TRIM(IF(WEEKDAY(A493,2)&gt;5,"Fin de semana. ","")&amp;IF(SUMIFS($G$2:$G$601,$A$2:$A$601,A493,$D$2:$D$601,D493)&gt;9,"Más de 9 h en el día. ","")&amp;IF(AND(B493&lt;&gt;"",C493&lt;&gt;"",C493&lt;B493),"Cruza la medianoche. ","")&amp;IF(LEN(TRIM(F493))&lt;15,"Sin descripción suficiente. ","")&amp;IF(AND(ISERROR(SEARCH("R-0",F493)),ISERROR(SEARCH("CU-",F493))),"Sin ticket. ","")&amp;IF(ISNA(MATCH(E493,Datos!$E$8:$E$22,0)),"Proyecto sin valor hora. ","")&amp;IF(ISNA(MATCH(D493,Datos!$A$8:$A$22,0)),"Persona fuera del equipo. ","")))</f>
        <v/>
      </c>
      <c r="I493" s="21" t="n"/>
      <c r="J493" s="22" t="n"/>
      <c r="K493" s="23">
        <f>IF(G493="","",IF(J493&lt;&gt;"",MIN(J493,G493),IF(OR(I493="Observada",I493="Rechazada"),0,G493)))</f>
        <v/>
      </c>
      <c r="L493" s="24" t="n"/>
      <c r="M493" s="25">
        <f>IF(OR(A493="",D493=""),0,IF(COUNTIFS($A$2:A493,A493,$D$2:D493,D493)=1,1,0))</f>
        <v/>
      </c>
    </row>
    <row r="494">
      <c r="A494" s="26" t="n"/>
      <c r="B494" s="27" t="n"/>
      <c r="C494" s="27" t="n"/>
      <c r="D494" s="28" t="n"/>
      <c r="E494" s="28" t="n"/>
      <c r="F494" s="29" t="n"/>
      <c r="G494" s="30" t="n"/>
      <c r="H494" s="20">
        <f>IF(A494="","",TRIM(IF(WEEKDAY(A494,2)&gt;5,"Fin de semana. ","")&amp;IF(SUMIFS($G$2:$G$601,$A$2:$A$601,A494,$D$2:$D$601,D494)&gt;9,"Más de 9 h en el día. ","")&amp;IF(AND(B494&lt;&gt;"",C494&lt;&gt;"",C494&lt;B494),"Cruza la medianoche. ","")&amp;IF(LEN(TRIM(F494))&lt;15,"Sin descripción suficiente. ","")&amp;IF(AND(ISERROR(SEARCH("R-0",F494)),ISERROR(SEARCH("CU-",F494))),"Sin ticket. ","")&amp;IF(ISNA(MATCH(E494,Datos!$E$8:$E$22,0)),"Proyecto sin valor hora. ","")&amp;IF(ISNA(MATCH(D494,Datos!$A$8:$A$22,0)),"Persona fuera del equipo. ","")))</f>
        <v/>
      </c>
      <c r="I494" s="21" t="n"/>
      <c r="J494" s="22" t="n"/>
      <c r="K494" s="23">
        <f>IF(G494="","",IF(J494&lt;&gt;"",MIN(J494,G494),IF(OR(I494="Observada",I494="Rechazada"),0,G494)))</f>
        <v/>
      </c>
      <c r="L494" s="24" t="n"/>
      <c r="M494" s="25">
        <f>IF(OR(A494="",D494=""),0,IF(COUNTIFS($A$2:A494,A494,$D$2:D494,D494)=1,1,0))</f>
        <v/>
      </c>
    </row>
    <row r="495">
      <c r="A495" s="26" t="n"/>
      <c r="B495" s="27" t="n"/>
      <c r="C495" s="27" t="n"/>
      <c r="D495" s="28" t="n"/>
      <c r="E495" s="28" t="n"/>
      <c r="F495" s="29" t="n"/>
      <c r="G495" s="30" t="n"/>
      <c r="H495" s="20">
        <f>IF(A495="","",TRIM(IF(WEEKDAY(A495,2)&gt;5,"Fin de semana. ","")&amp;IF(SUMIFS($G$2:$G$601,$A$2:$A$601,A495,$D$2:$D$601,D495)&gt;9,"Más de 9 h en el día. ","")&amp;IF(AND(B495&lt;&gt;"",C495&lt;&gt;"",C495&lt;B495),"Cruza la medianoche. ","")&amp;IF(LEN(TRIM(F495))&lt;15,"Sin descripción suficiente. ","")&amp;IF(AND(ISERROR(SEARCH("R-0",F495)),ISERROR(SEARCH("CU-",F495))),"Sin ticket. ","")&amp;IF(ISNA(MATCH(E495,Datos!$E$8:$E$22,0)),"Proyecto sin valor hora. ","")&amp;IF(ISNA(MATCH(D495,Datos!$A$8:$A$22,0)),"Persona fuera del equipo. ","")))</f>
        <v/>
      </c>
      <c r="I495" s="21" t="n"/>
      <c r="J495" s="22" t="n"/>
      <c r="K495" s="23">
        <f>IF(G495="","",IF(J495&lt;&gt;"",MIN(J495,G495),IF(OR(I495="Observada",I495="Rechazada"),0,G495)))</f>
        <v/>
      </c>
      <c r="L495" s="24" t="n"/>
      <c r="M495" s="25">
        <f>IF(OR(A495="",D495=""),0,IF(COUNTIFS($A$2:A495,A495,$D$2:D495,D495)=1,1,0))</f>
        <v/>
      </c>
    </row>
    <row r="496">
      <c r="A496" s="26" t="n"/>
      <c r="B496" s="27" t="n"/>
      <c r="C496" s="27" t="n"/>
      <c r="D496" s="28" t="n"/>
      <c r="E496" s="28" t="n"/>
      <c r="F496" s="29" t="n"/>
      <c r="G496" s="30" t="n"/>
      <c r="H496" s="20">
        <f>IF(A496="","",TRIM(IF(WEEKDAY(A496,2)&gt;5,"Fin de semana. ","")&amp;IF(SUMIFS($G$2:$G$601,$A$2:$A$601,A496,$D$2:$D$601,D496)&gt;9,"Más de 9 h en el día. ","")&amp;IF(AND(B496&lt;&gt;"",C496&lt;&gt;"",C496&lt;B496),"Cruza la medianoche. ","")&amp;IF(LEN(TRIM(F496))&lt;15,"Sin descripción suficiente. ","")&amp;IF(AND(ISERROR(SEARCH("R-0",F496)),ISERROR(SEARCH("CU-",F496))),"Sin ticket. ","")&amp;IF(ISNA(MATCH(E496,Datos!$E$8:$E$22,0)),"Proyecto sin valor hora. ","")&amp;IF(ISNA(MATCH(D496,Datos!$A$8:$A$22,0)),"Persona fuera del equipo. ","")))</f>
        <v/>
      </c>
      <c r="I496" s="21" t="n"/>
      <c r="J496" s="22" t="n"/>
      <c r="K496" s="23">
        <f>IF(G496="","",IF(J496&lt;&gt;"",MIN(J496,G496),IF(OR(I496="Observada",I496="Rechazada"),0,G496)))</f>
        <v/>
      </c>
      <c r="L496" s="24" t="n"/>
      <c r="M496" s="25">
        <f>IF(OR(A496="",D496=""),0,IF(COUNTIFS($A$2:A496,A496,$D$2:D496,D496)=1,1,0))</f>
        <v/>
      </c>
    </row>
    <row r="497">
      <c r="A497" s="26" t="n"/>
      <c r="B497" s="27" t="n"/>
      <c r="C497" s="27" t="n"/>
      <c r="D497" s="28" t="n"/>
      <c r="E497" s="28" t="n"/>
      <c r="F497" s="29" t="n"/>
      <c r="G497" s="30" t="n"/>
      <c r="H497" s="20">
        <f>IF(A497="","",TRIM(IF(WEEKDAY(A497,2)&gt;5,"Fin de semana. ","")&amp;IF(SUMIFS($G$2:$G$601,$A$2:$A$601,A497,$D$2:$D$601,D497)&gt;9,"Más de 9 h en el día. ","")&amp;IF(AND(B497&lt;&gt;"",C497&lt;&gt;"",C497&lt;B497),"Cruza la medianoche. ","")&amp;IF(LEN(TRIM(F497))&lt;15,"Sin descripción suficiente. ","")&amp;IF(AND(ISERROR(SEARCH("R-0",F497)),ISERROR(SEARCH("CU-",F497))),"Sin ticket. ","")&amp;IF(ISNA(MATCH(E497,Datos!$E$8:$E$22,0)),"Proyecto sin valor hora. ","")&amp;IF(ISNA(MATCH(D497,Datos!$A$8:$A$22,0)),"Persona fuera del equipo. ","")))</f>
        <v/>
      </c>
      <c r="I497" s="21" t="n"/>
      <c r="J497" s="22" t="n"/>
      <c r="K497" s="23">
        <f>IF(G497="","",IF(J497&lt;&gt;"",MIN(J497,G497),IF(OR(I497="Observada",I497="Rechazada"),0,G497)))</f>
        <v/>
      </c>
      <c r="L497" s="24" t="n"/>
      <c r="M497" s="25">
        <f>IF(OR(A497="",D497=""),0,IF(COUNTIFS($A$2:A497,A497,$D$2:D497,D497)=1,1,0))</f>
        <v/>
      </c>
    </row>
    <row r="498">
      <c r="A498" s="26" t="n"/>
      <c r="B498" s="27" t="n"/>
      <c r="C498" s="27" t="n"/>
      <c r="D498" s="28" t="n"/>
      <c r="E498" s="28" t="n"/>
      <c r="F498" s="29" t="n"/>
      <c r="G498" s="30" t="n"/>
      <c r="H498" s="20">
        <f>IF(A498="","",TRIM(IF(WEEKDAY(A498,2)&gt;5,"Fin de semana. ","")&amp;IF(SUMIFS($G$2:$G$601,$A$2:$A$601,A498,$D$2:$D$601,D498)&gt;9,"Más de 9 h en el día. ","")&amp;IF(AND(B498&lt;&gt;"",C498&lt;&gt;"",C498&lt;B498),"Cruza la medianoche. ","")&amp;IF(LEN(TRIM(F498))&lt;15,"Sin descripción suficiente. ","")&amp;IF(AND(ISERROR(SEARCH("R-0",F498)),ISERROR(SEARCH("CU-",F498))),"Sin ticket. ","")&amp;IF(ISNA(MATCH(E498,Datos!$E$8:$E$22,0)),"Proyecto sin valor hora. ","")&amp;IF(ISNA(MATCH(D498,Datos!$A$8:$A$22,0)),"Persona fuera del equipo. ","")))</f>
        <v/>
      </c>
      <c r="I498" s="21" t="n"/>
      <c r="J498" s="22" t="n"/>
      <c r="K498" s="23">
        <f>IF(G498="","",IF(J498&lt;&gt;"",MIN(J498,G498),IF(OR(I498="Observada",I498="Rechazada"),0,G498)))</f>
        <v/>
      </c>
      <c r="L498" s="24" t="n"/>
      <c r="M498" s="25">
        <f>IF(OR(A498="",D498=""),0,IF(COUNTIFS($A$2:A498,A498,$D$2:D498,D498)=1,1,0))</f>
        <v/>
      </c>
    </row>
    <row r="499">
      <c r="A499" s="26" t="n"/>
      <c r="B499" s="27" t="n"/>
      <c r="C499" s="27" t="n"/>
      <c r="D499" s="28" t="n"/>
      <c r="E499" s="28" t="n"/>
      <c r="F499" s="29" t="n"/>
      <c r="G499" s="30" t="n"/>
      <c r="H499" s="20">
        <f>IF(A499="","",TRIM(IF(WEEKDAY(A499,2)&gt;5,"Fin de semana. ","")&amp;IF(SUMIFS($G$2:$G$601,$A$2:$A$601,A499,$D$2:$D$601,D499)&gt;9,"Más de 9 h en el día. ","")&amp;IF(AND(B499&lt;&gt;"",C499&lt;&gt;"",C499&lt;B499),"Cruza la medianoche. ","")&amp;IF(LEN(TRIM(F499))&lt;15,"Sin descripción suficiente. ","")&amp;IF(AND(ISERROR(SEARCH("R-0",F499)),ISERROR(SEARCH("CU-",F499))),"Sin ticket. ","")&amp;IF(ISNA(MATCH(E499,Datos!$E$8:$E$22,0)),"Proyecto sin valor hora. ","")&amp;IF(ISNA(MATCH(D499,Datos!$A$8:$A$22,0)),"Persona fuera del equipo. ","")))</f>
        <v/>
      </c>
      <c r="I499" s="21" t="n"/>
      <c r="J499" s="22" t="n"/>
      <c r="K499" s="23">
        <f>IF(G499="","",IF(J499&lt;&gt;"",MIN(J499,G499),IF(OR(I499="Observada",I499="Rechazada"),0,G499)))</f>
        <v/>
      </c>
      <c r="L499" s="24" t="n"/>
      <c r="M499" s="25">
        <f>IF(OR(A499="",D499=""),0,IF(COUNTIFS($A$2:A499,A499,$D$2:D499,D499)=1,1,0))</f>
        <v/>
      </c>
    </row>
    <row r="500">
      <c r="A500" s="26" t="n"/>
      <c r="B500" s="27" t="n"/>
      <c r="C500" s="27" t="n"/>
      <c r="D500" s="28" t="n"/>
      <c r="E500" s="28" t="n"/>
      <c r="F500" s="29" t="n"/>
      <c r="G500" s="30" t="n"/>
      <c r="H500" s="20">
        <f>IF(A500="","",TRIM(IF(WEEKDAY(A500,2)&gt;5,"Fin de semana. ","")&amp;IF(SUMIFS($G$2:$G$601,$A$2:$A$601,A500,$D$2:$D$601,D500)&gt;9,"Más de 9 h en el día. ","")&amp;IF(AND(B500&lt;&gt;"",C500&lt;&gt;"",C500&lt;B500),"Cruza la medianoche. ","")&amp;IF(LEN(TRIM(F500))&lt;15,"Sin descripción suficiente. ","")&amp;IF(AND(ISERROR(SEARCH("R-0",F500)),ISERROR(SEARCH("CU-",F500))),"Sin ticket. ","")&amp;IF(ISNA(MATCH(E500,Datos!$E$8:$E$22,0)),"Proyecto sin valor hora. ","")&amp;IF(ISNA(MATCH(D500,Datos!$A$8:$A$22,0)),"Persona fuera del equipo. ","")))</f>
        <v/>
      </c>
      <c r="I500" s="21" t="n"/>
      <c r="J500" s="22" t="n"/>
      <c r="K500" s="23">
        <f>IF(G500="","",IF(J500&lt;&gt;"",MIN(J500,G500),IF(OR(I500="Observada",I500="Rechazada"),0,G500)))</f>
        <v/>
      </c>
      <c r="L500" s="24" t="n"/>
      <c r="M500" s="25">
        <f>IF(OR(A500="",D500=""),0,IF(COUNTIFS($A$2:A500,A500,$D$2:D500,D500)=1,1,0))</f>
        <v/>
      </c>
    </row>
    <row r="501">
      <c r="A501" s="26" t="n"/>
      <c r="B501" s="27" t="n"/>
      <c r="C501" s="27" t="n"/>
      <c r="D501" s="28" t="n"/>
      <c r="E501" s="28" t="n"/>
      <c r="F501" s="29" t="n"/>
      <c r="G501" s="30" t="n"/>
      <c r="H501" s="20">
        <f>IF(A501="","",TRIM(IF(WEEKDAY(A501,2)&gt;5,"Fin de semana. ","")&amp;IF(SUMIFS($G$2:$G$601,$A$2:$A$601,A501,$D$2:$D$601,D501)&gt;9,"Más de 9 h en el día. ","")&amp;IF(AND(B501&lt;&gt;"",C501&lt;&gt;"",C501&lt;B501),"Cruza la medianoche. ","")&amp;IF(LEN(TRIM(F501))&lt;15,"Sin descripción suficiente. ","")&amp;IF(AND(ISERROR(SEARCH("R-0",F501)),ISERROR(SEARCH("CU-",F501))),"Sin ticket. ","")&amp;IF(ISNA(MATCH(E501,Datos!$E$8:$E$22,0)),"Proyecto sin valor hora. ","")&amp;IF(ISNA(MATCH(D501,Datos!$A$8:$A$22,0)),"Persona fuera del equipo. ","")))</f>
        <v/>
      </c>
      <c r="I501" s="21" t="n"/>
      <c r="J501" s="22" t="n"/>
      <c r="K501" s="23">
        <f>IF(G501="","",IF(J501&lt;&gt;"",MIN(J501,G501),IF(OR(I501="Observada",I501="Rechazada"),0,G501)))</f>
        <v/>
      </c>
      <c r="L501" s="24" t="n"/>
      <c r="M501" s="25">
        <f>IF(OR(A501="",D501=""),0,IF(COUNTIFS($A$2:A501,A501,$D$2:D501,D501)=1,1,0))</f>
        <v/>
      </c>
    </row>
    <row r="502">
      <c r="A502" s="26" t="n"/>
      <c r="B502" s="27" t="n"/>
      <c r="C502" s="27" t="n"/>
      <c r="D502" s="28" t="n"/>
      <c r="E502" s="28" t="n"/>
      <c r="F502" s="29" t="n"/>
      <c r="G502" s="30" t="n"/>
      <c r="H502" s="20">
        <f>IF(A502="","",TRIM(IF(WEEKDAY(A502,2)&gt;5,"Fin de semana. ","")&amp;IF(SUMIFS($G$2:$G$601,$A$2:$A$601,A502,$D$2:$D$601,D502)&gt;9,"Más de 9 h en el día. ","")&amp;IF(AND(B502&lt;&gt;"",C502&lt;&gt;"",C502&lt;B502),"Cruza la medianoche. ","")&amp;IF(LEN(TRIM(F502))&lt;15,"Sin descripción suficiente. ","")&amp;IF(AND(ISERROR(SEARCH("R-0",F502)),ISERROR(SEARCH("CU-",F502))),"Sin ticket. ","")&amp;IF(ISNA(MATCH(E502,Datos!$E$8:$E$22,0)),"Proyecto sin valor hora. ","")&amp;IF(ISNA(MATCH(D502,Datos!$A$8:$A$22,0)),"Persona fuera del equipo. ","")))</f>
        <v/>
      </c>
      <c r="I502" s="21" t="n"/>
      <c r="J502" s="22" t="n"/>
      <c r="K502" s="23">
        <f>IF(G502="","",IF(J502&lt;&gt;"",MIN(J502,G502),IF(OR(I502="Observada",I502="Rechazada"),0,G502)))</f>
        <v/>
      </c>
      <c r="L502" s="24" t="n"/>
      <c r="M502" s="25">
        <f>IF(OR(A502="",D502=""),0,IF(COUNTIFS($A$2:A502,A502,$D$2:D502,D502)=1,1,0))</f>
        <v/>
      </c>
    </row>
    <row r="503">
      <c r="A503" s="26" t="n"/>
      <c r="B503" s="27" t="n"/>
      <c r="C503" s="27" t="n"/>
      <c r="D503" s="28" t="n"/>
      <c r="E503" s="28" t="n"/>
      <c r="F503" s="29" t="n"/>
      <c r="G503" s="30" t="n"/>
      <c r="H503" s="20">
        <f>IF(A503="","",TRIM(IF(WEEKDAY(A503,2)&gt;5,"Fin de semana. ","")&amp;IF(SUMIFS($G$2:$G$601,$A$2:$A$601,A503,$D$2:$D$601,D503)&gt;9,"Más de 9 h en el día. ","")&amp;IF(AND(B503&lt;&gt;"",C503&lt;&gt;"",C503&lt;B503),"Cruza la medianoche. ","")&amp;IF(LEN(TRIM(F503))&lt;15,"Sin descripción suficiente. ","")&amp;IF(AND(ISERROR(SEARCH("R-0",F503)),ISERROR(SEARCH("CU-",F503))),"Sin ticket. ","")&amp;IF(ISNA(MATCH(E503,Datos!$E$8:$E$22,0)),"Proyecto sin valor hora. ","")&amp;IF(ISNA(MATCH(D503,Datos!$A$8:$A$22,0)),"Persona fuera del equipo. ","")))</f>
        <v/>
      </c>
      <c r="I503" s="21" t="n"/>
      <c r="J503" s="22" t="n"/>
      <c r="K503" s="23">
        <f>IF(G503="","",IF(J503&lt;&gt;"",MIN(J503,G503),IF(OR(I503="Observada",I503="Rechazada"),0,G503)))</f>
        <v/>
      </c>
      <c r="L503" s="24" t="n"/>
      <c r="M503" s="25">
        <f>IF(OR(A503="",D503=""),0,IF(COUNTIFS($A$2:A503,A503,$D$2:D503,D503)=1,1,0))</f>
        <v/>
      </c>
    </row>
    <row r="504">
      <c r="A504" s="26" t="n"/>
      <c r="B504" s="27" t="n"/>
      <c r="C504" s="27" t="n"/>
      <c r="D504" s="28" t="n"/>
      <c r="E504" s="28" t="n"/>
      <c r="F504" s="29" t="n"/>
      <c r="G504" s="30" t="n"/>
      <c r="H504" s="20">
        <f>IF(A504="","",TRIM(IF(WEEKDAY(A504,2)&gt;5,"Fin de semana. ","")&amp;IF(SUMIFS($G$2:$G$601,$A$2:$A$601,A504,$D$2:$D$601,D504)&gt;9,"Más de 9 h en el día. ","")&amp;IF(AND(B504&lt;&gt;"",C504&lt;&gt;"",C504&lt;B504),"Cruza la medianoche. ","")&amp;IF(LEN(TRIM(F504))&lt;15,"Sin descripción suficiente. ","")&amp;IF(AND(ISERROR(SEARCH("R-0",F504)),ISERROR(SEARCH("CU-",F504))),"Sin ticket. ","")&amp;IF(ISNA(MATCH(E504,Datos!$E$8:$E$22,0)),"Proyecto sin valor hora. ","")&amp;IF(ISNA(MATCH(D504,Datos!$A$8:$A$22,0)),"Persona fuera del equipo. ","")))</f>
        <v/>
      </c>
      <c r="I504" s="21" t="n"/>
      <c r="J504" s="22" t="n"/>
      <c r="K504" s="23">
        <f>IF(G504="","",IF(J504&lt;&gt;"",MIN(J504,G504),IF(OR(I504="Observada",I504="Rechazada"),0,G504)))</f>
        <v/>
      </c>
      <c r="L504" s="24" t="n"/>
      <c r="M504" s="25">
        <f>IF(OR(A504="",D504=""),0,IF(COUNTIFS($A$2:A504,A504,$D$2:D504,D504)=1,1,0))</f>
        <v/>
      </c>
    </row>
    <row r="505">
      <c r="A505" s="26" t="n"/>
      <c r="B505" s="27" t="n"/>
      <c r="C505" s="27" t="n"/>
      <c r="D505" s="28" t="n"/>
      <c r="E505" s="28" t="n"/>
      <c r="F505" s="29" t="n"/>
      <c r="G505" s="30" t="n"/>
      <c r="H505" s="20">
        <f>IF(A505="","",TRIM(IF(WEEKDAY(A505,2)&gt;5,"Fin de semana. ","")&amp;IF(SUMIFS($G$2:$G$601,$A$2:$A$601,A505,$D$2:$D$601,D505)&gt;9,"Más de 9 h en el día. ","")&amp;IF(AND(B505&lt;&gt;"",C505&lt;&gt;"",C505&lt;B505),"Cruza la medianoche. ","")&amp;IF(LEN(TRIM(F505))&lt;15,"Sin descripción suficiente. ","")&amp;IF(AND(ISERROR(SEARCH("R-0",F505)),ISERROR(SEARCH("CU-",F505))),"Sin ticket. ","")&amp;IF(ISNA(MATCH(E505,Datos!$E$8:$E$22,0)),"Proyecto sin valor hora. ","")&amp;IF(ISNA(MATCH(D505,Datos!$A$8:$A$22,0)),"Persona fuera del equipo. ","")))</f>
        <v/>
      </c>
      <c r="I505" s="21" t="n"/>
      <c r="J505" s="22" t="n"/>
      <c r="K505" s="23">
        <f>IF(G505="","",IF(J505&lt;&gt;"",MIN(J505,G505),IF(OR(I505="Observada",I505="Rechazada"),0,G505)))</f>
        <v/>
      </c>
      <c r="L505" s="24" t="n"/>
      <c r="M505" s="25">
        <f>IF(OR(A505="",D505=""),0,IF(COUNTIFS($A$2:A505,A505,$D$2:D505,D505)=1,1,0))</f>
        <v/>
      </c>
    </row>
    <row r="506">
      <c r="A506" s="26" t="n"/>
      <c r="B506" s="27" t="n"/>
      <c r="C506" s="27" t="n"/>
      <c r="D506" s="28" t="n"/>
      <c r="E506" s="28" t="n"/>
      <c r="F506" s="29" t="n"/>
      <c r="G506" s="30" t="n"/>
      <c r="H506" s="20">
        <f>IF(A506="","",TRIM(IF(WEEKDAY(A506,2)&gt;5,"Fin de semana. ","")&amp;IF(SUMIFS($G$2:$G$601,$A$2:$A$601,A506,$D$2:$D$601,D506)&gt;9,"Más de 9 h en el día. ","")&amp;IF(AND(B506&lt;&gt;"",C506&lt;&gt;"",C506&lt;B506),"Cruza la medianoche. ","")&amp;IF(LEN(TRIM(F506))&lt;15,"Sin descripción suficiente. ","")&amp;IF(AND(ISERROR(SEARCH("R-0",F506)),ISERROR(SEARCH("CU-",F506))),"Sin ticket. ","")&amp;IF(ISNA(MATCH(E506,Datos!$E$8:$E$22,0)),"Proyecto sin valor hora. ","")&amp;IF(ISNA(MATCH(D506,Datos!$A$8:$A$22,0)),"Persona fuera del equipo. ","")))</f>
        <v/>
      </c>
      <c r="I506" s="21" t="n"/>
      <c r="J506" s="22" t="n"/>
      <c r="K506" s="23">
        <f>IF(G506="","",IF(J506&lt;&gt;"",MIN(J506,G506),IF(OR(I506="Observada",I506="Rechazada"),0,G506)))</f>
        <v/>
      </c>
      <c r="L506" s="24" t="n"/>
      <c r="M506" s="25">
        <f>IF(OR(A506="",D506=""),0,IF(COUNTIFS($A$2:A506,A506,$D$2:D506,D506)=1,1,0))</f>
        <v/>
      </c>
    </row>
    <row r="507">
      <c r="A507" s="26" t="n"/>
      <c r="B507" s="27" t="n"/>
      <c r="C507" s="27" t="n"/>
      <c r="D507" s="28" t="n"/>
      <c r="E507" s="28" t="n"/>
      <c r="F507" s="29" t="n"/>
      <c r="G507" s="30" t="n"/>
      <c r="H507" s="20">
        <f>IF(A507="","",TRIM(IF(WEEKDAY(A507,2)&gt;5,"Fin de semana. ","")&amp;IF(SUMIFS($G$2:$G$601,$A$2:$A$601,A507,$D$2:$D$601,D507)&gt;9,"Más de 9 h en el día. ","")&amp;IF(AND(B507&lt;&gt;"",C507&lt;&gt;"",C507&lt;B507),"Cruza la medianoche. ","")&amp;IF(LEN(TRIM(F507))&lt;15,"Sin descripción suficiente. ","")&amp;IF(AND(ISERROR(SEARCH("R-0",F507)),ISERROR(SEARCH("CU-",F507))),"Sin ticket. ","")&amp;IF(ISNA(MATCH(E507,Datos!$E$8:$E$22,0)),"Proyecto sin valor hora. ","")&amp;IF(ISNA(MATCH(D507,Datos!$A$8:$A$22,0)),"Persona fuera del equipo. ","")))</f>
        <v/>
      </c>
      <c r="I507" s="21" t="n"/>
      <c r="J507" s="22" t="n"/>
      <c r="K507" s="23">
        <f>IF(G507="","",IF(J507&lt;&gt;"",MIN(J507,G507),IF(OR(I507="Observada",I507="Rechazada"),0,G507)))</f>
        <v/>
      </c>
      <c r="L507" s="24" t="n"/>
      <c r="M507" s="25">
        <f>IF(OR(A507="",D507=""),0,IF(COUNTIFS($A$2:A507,A507,$D$2:D507,D507)=1,1,0))</f>
        <v/>
      </c>
    </row>
    <row r="508">
      <c r="A508" s="26" t="n"/>
      <c r="B508" s="27" t="n"/>
      <c r="C508" s="27" t="n"/>
      <c r="D508" s="28" t="n"/>
      <c r="E508" s="28" t="n"/>
      <c r="F508" s="29" t="n"/>
      <c r="G508" s="30" t="n"/>
      <c r="H508" s="20">
        <f>IF(A508="","",TRIM(IF(WEEKDAY(A508,2)&gt;5,"Fin de semana. ","")&amp;IF(SUMIFS($G$2:$G$601,$A$2:$A$601,A508,$D$2:$D$601,D508)&gt;9,"Más de 9 h en el día. ","")&amp;IF(AND(B508&lt;&gt;"",C508&lt;&gt;"",C508&lt;B508),"Cruza la medianoche. ","")&amp;IF(LEN(TRIM(F508))&lt;15,"Sin descripción suficiente. ","")&amp;IF(AND(ISERROR(SEARCH("R-0",F508)),ISERROR(SEARCH("CU-",F508))),"Sin ticket. ","")&amp;IF(ISNA(MATCH(E508,Datos!$E$8:$E$22,0)),"Proyecto sin valor hora. ","")&amp;IF(ISNA(MATCH(D508,Datos!$A$8:$A$22,0)),"Persona fuera del equipo. ","")))</f>
        <v/>
      </c>
      <c r="I508" s="21" t="n"/>
      <c r="J508" s="22" t="n"/>
      <c r="K508" s="23">
        <f>IF(G508="","",IF(J508&lt;&gt;"",MIN(J508,G508),IF(OR(I508="Observada",I508="Rechazada"),0,G508)))</f>
        <v/>
      </c>
      <c r="L508" s="24" t="n"/>
      <c r="M508" s="25">
        <f>IF(OR(A508="",D508=""),0,IF(COUNTIFS($A$2:A508,A508,$D$2:D508,D508)=1,1,0))</f>
        <v/>
      </c>
    </row>
    <row r="509">
      <c r="A509" s="26" t="n"/>
      <c r="B509" s="27" t="n"/>
      <c r="C509" s="27" t="n"/>
      <c r="D509" s="28" t="n"/>
      <c r="E509" s="28" t="n"/>
      <c r="F509" s="29" t="n"/>
      <c r="G509" s="30" t="n"/>
      <c r="H509" s="20">
        <f>IF(A509="","",TRIM(IF(WEEKDAY(A509,2)&gt;5,"Fin de semana. ","")&amp;IF(SUMIFS($G$2:$G$601,$A$2:$A$601,A509,$D$2:$D$601,D509)&gt;9,"Más de 9 h en el día. ","")&amp;IF(AND(B509&lt;&gt;"",C509&lt;&gt;"",C509&lt;B509),"Cruza la medianoche. ","")&amp;IF(LEN(TRIM(F509))&lt;15,"Sin descripción suficiente. ","")&amp;IF(AND(ISERROR(SEARCH("R-0",F509)),ISERROR(SEARCH("CU-",F509))),"Sin ticket. ","")&amp;IF(ISNA(MATCH(E509,Datos!$E$8:$E$22,0)),"Proyecto sin valor hora. ","")&amp;IF(ISNA(MATCH(D509,Datos!$A$8:$A$22,0)),"Persona fuera del equipo. ","")))</f>
        <v/>
      </c>
      <c r="I509" s="21" t="n"/>
      <c r="J509" s="22" t="n"/>
      <c r="K509" s="23">
        <f>IF(G509="","",IF(J509&lt;&gt;"",MIN(J509,G509),IF(OR(I509="Observada",I509="Rechazada"),0,G509)))</f>
        <v/>
      </c>
      <c r="L509" s="24" t="n"/>
      <c r="M509" s="25">
        <f>IF(OR(A509="",D509=""),0,IF(COUNTIFS($A$2:A509,A509,$D$2:D509,D509)=1,1,0))</f>
        <v/>
      </c>
    </row>
    <row r="510">
      <c r="A510" s="26" t="n"/>
      <c r="B510" s="27" t="n"/>
      <c r="C510" s="27" t="n"/>
      <c r="D510" s="28" t="n"/>
      <c r="E510" s="28" t="n"/>
      <c r="F510" s="29" t="n"/>
      <c r="G510" s="30" t="n"/>
      <c r="H510" s="20">
        <f>IF(A510="","",TRIM(IF(WEEKDAY(A510,2)&gt;5,"Fin de semana. ","")&amp;IF(SUMIFS($G$2:$G$601,$A$2:$A$601,A510,$D$2:$D$601,D510)&gt;9,"Más de 9 h en el día. ","")&amp;IF(AND(B510&lt;&gt;"",C510&lt;&gt;"",C510&lt;B510),"Cruza la medianoche. ","")&amp;IF(LEN(TRIM(F510))&lt;15,"Sin descripción suficiente. ","")&amp;IF(AND(ISERROR(SEARCH("R-0",F510)),ISERROR(SEARCH("CU-",F510))),"Sin ticket. ","")&amp;IF(ISNA(MATCH(E510,Datos!$E$8:$E$22,0)),"Proyecto sin valor hora. ","")&amp;IF(ISNA(MATCH(D510,Datos!$A$8:$A$22,0)),"Persona fuera del equipo. ","")))</f>
        <v/>
      </c>
      <c r="I510" s="21" t="n"/>
      <c r="J510" s="22" t="n"/>
      <c r="K510" s="23">
        <f>IF(G510="","",IF(J510&lt;&gt;"",MIN(J510,G510),IF(OR(I510="Observada",I510="Rechazada"),0,G510)))</f>
        <v/>
      </c>
      <c r="L510" s="24" t="n"/>
      <c r="M510" s="25">
        <f>IF(OR(A510="",D510=""),0,IF(COUNTIFS($A$2:A510,A510,$D$2:D510,D510)=1,1,0))</f>
        <v/>
      </c>
    </row>
    <row r="511">
      <c r="A511" s="26" t="n"/>
      <c r="B511" s="27" t="n"/>
      <c r="C511" s="27" t="n"/>
      <c r="D511" s="28" t="n"/>
      <c r="E511" s="28" t="n"/>
      <c r="F511" s="29" t="n"/>
      <c r="G511" s="30" t="n"/>
      <c r="H511" s="20">
        <f>IF(A511="","",TRIM(IF(WEEKDAY(A511,2)&gt;5,"Fin de semana. ","")&amp;IF(SUMIFS($G$2:$G$601,$A$2:$A$601,A511,$D$2:$D$601,D511)&gt;9,"Más de 9 h en el día. ","")&amp;IF(AND(B511&lt;&gt;"",C511&lt;&gt;"",C511&lt;B511),"Cruza la medianoche. ","")&amp;IF(LEN(TRIM(F511))&lt;15,"Sin descripción suficiente. ","")&amp;IF(AND(ISERROR(SEARCH("R-0",F511)),ISERROR(SEARCH("CU-",F511))),"Sin ticket. ","")&amp;IF(ISNA(MATCH(E511,Datos!$E$8:$E$22,0)),"Proyecto sin valor hora. ","")&amp;IF(ISNA(MATCH(D511,Datos!$A$8:$A$22,0)),"Persona fuera del equipo. ","")))</f>
        <v/>
      </c>
      <c r="I511" s="21" t="n"/>
      <c r="J511" s="22" t="n"/>
      <c r="K511" s="23">
        <f>IF(G511="","",IF(J511&lt;&gt;"",MIN(J511,G511),IF(OR(I511="Observada",I511="Rechazada"),0,G511)))</f>
        <v/>
      </c>
      <c r="L511" s="24" t="n"/>
      <c r="M511" s="25">
        <f>IF(OR(A511="",D511=""),0,IF(COUNTIFS($A$2:A511,A511,$D$2:D511,D511)=1,1,0))</f>
        <v/>
      </c>
    </row>
    <row r="512">
      <c r="A512" s="26" t="n"/>
      <c r="B512" s="27" t="n"/>
      <c r="C512" s="27" t="n"/>
      <c r="D512" s="28" t="n"/>
      <c r="E512" s="28" t="n"/>
      <c r="F512" s="29" t="n"/>
      <c r="G512" s="30" t="n"/>
      <c r="H512" s="20">
        <f>IF(A512="","",TRIM(IF(WEEKDAY(A512,2)&gt;5,"Fin de semana. ","")&amp;IF(SUMIFS($G$2:$G$601,$A$2:$A$601,A512,$D$2:$D$601,D512)&gt;9,"Más de 9 h en el día. ","")&amp;IF(AND(B512&lt;&gt;"",C512&lt;&gt;"",C512&lt;B512),"Cruza la medianoche. ","")&amp;IF(LEN(TRIM(F512))&lt;15,"Sin descripción suficiente. ","")&amp;IF(AND(ISERROR(SEARCH("R-0",F512)),ISERROR(SEARCH("CU-",F512))),"Sin ticket. ","")&amp;IF(ISNA(MATCH(E512,Datos!$E$8:$E$22,0)),"Proyecto sin valor hora. ","")&amp;IF(ISNA(MATCH(D512,Datos!$A$8:$A$22,0)),"Persona fuera del equipo. ","")))</f>
        <v/>
      </c>
      <c r="I512" s="21" t="n"/>
      <c r="J512" s="22" t="n"/>
      <c r="K512" s="23">
        <f>IF(G512="","",IF(J512&lt;&gt;"",MIN(J512,G512),IF(OR(I512="Observada",I512="Rechazada"),0,G512)))</f>
        <v/>
      </c>
      <c r="L512" s="24" t="n"/>
      <c r="M512" s="25">
        <f>IF(OR(A512="",D512=""),0,IF(COUNTIFS($A$2:A512,A512,$D$2:D512,D512)=1,1,0))</f>
        <v/>
      </c>
    </row>
    <row r="513">
      <c r="A513" s="26" t="n"/>
      <c r="B513" s="27" t="n"/>
      <c r="C513" s="27" t="n"/>
      <c r="D513" s="28" t="n"/>
      <c r="E513" s="28" t="n"/>
      <c r="F513" s="29" t="n"/>
      <c r="G513" s="30" t="n"/>
      <c r="H513" s="20">
        <f>IF(A513="","",TRIM(IF(WEEKDAY(A513,2)&gt;5,"Fin de semana. ","")&amp;IF(SUMIFS($G$2:$G$601,$A$2:$A$601,A513,$D$2:$D$601,D513)&gt;9,"Más de 9 h en el día. ","")&amp;IF(AND(B513&lt;&gt;"",C513&lt;&gt;"",C513&lt;B513),"Cruza la medianoche. ","")&amp;IF(LEN(TRIM(F513))&lt;15,"Sin descripción suficiente. ","")&amp;IF(AND(ISERROR(SEARCH("R-0",F513)),ISERROR(SEARCH("CU-",F513))),"Sin ticket. ","")&amp;IF(ISNA(MATCH(E513,Datos!$E$8:$E$22,0)),"Proyecto sin valor hora. ","")&amp;IF(ISNA(MATCH(D513,Datos!$A$8:$A$22,0)),"Persona fuera del equipo. ","")))</f>
        <v/>
      </c>
      <c r="I513" s="21" t="n"/>
      <c r="J513" s="22" t="n"/>
      <c r="K513" s="23">
        <f>IF(G513="","",IF(J513&lt;&gt;"",MIN(J513,G513),IF(OR(I513="Observada",I513="Rechazada"),0,G513)))</f>
        <v/>
      </c>
      <c r="L513" s="24" t="n"/>
      <c r="M513" s="25">
        <f>IF(OR(A513="",D513=""),0,IF(COUNTIFS($A$2:A513,A513,$D$2:D513,D513)=1,1,0))</f>
        <v/>
      </c>
    </row>
    <row r="514">
      <c r="A514" s="26" t="n"/>
      <c r="B514" s="27" t="n"/>
      <c r="C514" s="27" t="n"/>
      <c r="D514" s="28" t="n"/>
      <c r="E514" s="28" t="n"/>
      <c r="F514" s="29" t="n"/>
      <c r="G514" s="30" t="n"/>
      <c r="H514" s="20">
        <f>IF(A514="","",TRIM(IF(WEEKDAY(A514,2)&gt;5,"Fin de semana. ","")&amp;IF(SUMIFS($G$2:$G$601,$A$2:$A$601,A514,$D$2:$D$601,D514)&gt;9,"Más de 9 h en el día. ","")&amp;IF(AND(B514&lt;&gt;"",C514&lt;&gt;"",C514&lt;B514),"Cruza la medianoche. ","")&amp;IF(LEN(TRIM(F514))&lt;15,"Sin descripción suficiente. ","")&amp;IF(AND(ISERROR(SEARCH("R-0",F514)),ISERROR(SEARCH("CU-",F514))),"Sin ticket. ","")&amp;IF(ISNA(MATCH(E514,Datos!$E$8:$E$22,0)),"Proyecto sin valor hora. ","")&amp;IF(ISNA(MATCH(D514,Datos!$A$8:$A$22,0)),"Persona fuera del equipo. ","")))</f>
        <v/>
      </c>
      <c r="I514" s="21" t="n"/>
      <c r="J514" s="22" t="n"/>
      <c r="K514" s="23">
        <f>IF(G514="","",IF(J514&lt;&gt;"",MIN(J514,G514),IF(OR(I514="Observada",I514="Rechazada"),0,G514)))</f>
        <v/>
      </c>
      <c r="L514" s="24" t="n"/>
      <c r="M514" s="25">
        <f>IF(OR(A514="",D514=""),0,IF(COUNTIFS($A$2:A514,A514,$D$2:D514,D514)=1,1,0))</f>
        <v/>
      </c>
    </row>
    <row r="515">
      <c r="A515" s="26" t="n"/>
      <c r="B515" s="27" t="n"/>
      <c r="C515" s="27" t="n"/>
      <c r="D515" s="28" t="n"/>
      <c r="E515" s="28" t="n"/>
      <c r="F515" s="29" t="n"/>
      <c r="G515" s="30" t="n"/>
      <c r="H515" s="20">
        <f>IF(A515="","",TRIM(IF(WEEKDAY(A515,2)&gt;5,"Fin de semana. ","")&amp;IF(SUMIFS($G$2:$G$601,$A$2:$A$601,A515,$D$2:$D$601,D515)&gt;9,"Más de 9 h en el día. ","")&amp;IF(AND(B515&lt;&gt;"",C515&lt;&gt;"",C515&lt;B515),"Cruza la medianoche. ","")&amp;IF(LEN(TRIM(F515))&lt;15,"Sin descripción suficiente. ","")&amp;IF(AND(ISERROR(SEARCH("R-0",F515)),ISERROR(SEARCH("CU-",F515))),"Sin ticket. ","")&amp;IF(ISNA(MATCH(E515,Datos!$E$8:$E$22,0)),"Proyecto sin valor hora. ","")&amp;IF(ISNA(MATCH(D515,Datos!$A$8:$A$22,0)),"Persona fuera del equipo. ","")))</f>
        <v/>
      </c>
      <c r="I515" s="21" t="n"/>
      <c r="J515" s="22" t="n"/>
      <c r="K515" s="23">
        <f>IF(G515="","",IF(J515&lt;&gt;"",MIN(J515,G515),IF(OR(I515="Observada",I515="Rechazada"),0,G515)))</f>
        <v/>
      </c>
      <c r="L515" s="24" t="n"/>
      <c r="M515" s="25">
        <f>IF(OR(A515="",D515=""),0,IF(COUNTIFS($A$2:A515,A515,$D$2:D515,D515)=1,1,0))</f>
        <v/>
      </c>
    </row>
    <row r="516">
      <c r="A516" s="26" t="n"/>
      <c r="B516" s="27" t="n"/>
      <c r="C516" s="27" t="n"/>
      <c r="D516" s="28" t="n"/>
      <c r="E516" s="28" t="n"/>
      <c r="F516" s="29" t="n"/>
      <c r="G516" s="30" t="n"/>
      <c r="H516" s="20">
        <f>IF(A516="","",TRIM(IF(WEEKDAY(A516,2)&gt;5,"Fin de semana. ","")&amp;IF(SUMIFS($G$2:$G$601,$A$2:$A$601,A516,$D$2:$D$601,D516)&gt;9,"Más de 9 h en el día. ","")&amp;IF(AND(B516&lt;&gt;"",C516&lt;&gt;"",C516&lt;B516),"Cruza la medianoche. ","")&amp;IF(LEN(TRIM(F516))&lt;15,"Sin descripción suficiente. ","")&amp;IF(AND(ISERROR(SEARCH("R-0",F516)),ISERROR(SEARCH("CU-",F516))),"Sin ticket. ","")&amp;IF(ISNA(MATCH(E516,Datos!$E$8:$E$22,0)),"Proyecto sin valor hora. ","")&amp;IF(ISNA(MATCH(D516,Datos!$A$8:$A$22,0)),"Persona fuera del equipo. ","")))</f>
        <v/>
      </c>
      <c r="I516" s="21" t="n"/>
      <c r="J516" s="22" t="n"/>
      <c r="K516" s="23">
        <f>IF(G516="","",IF(J516&lt;&gt;"",MIN(J516,G516),IF(OR(I516="Observada",I516="Rechazada"),0,G516)))</f>
        <v/>
      </c>
      <c r="L516" s="24" t="n"/>
      <c r="M516" s="25">
        <f>IF(OR(A516="",D516=""),0,IF(COUNTIFS($A$2:A516,A516,$D$2:D516,D516)=1,1,0))</f>
        <v/>
      </c>
    </row>
    <row r="517">
      <c r="A517" s="26" t="n"/>
      <c r="B517" s="27" t="n"/>
      <c r="C517" s="27" t="n"/>
      <c r="D517" s="28" t="n"/>
      <c r="E517" s="28" t="n"/>
      <c r="F517" s="29" t="n"/>
      <c r="G517" s="30" t="n"/>
      <c r="H517" s="20">
        <f>IF(A517="","",TRIM(IF(WEEKDAY(A517,2)&gt;5,"Fin de semana. ","")&amp;IF(SUMIFS($G$2:$G$601,$A$2:$A$601,A517,$D$2:$D$601,D517)&gt;9,"Más de 9 h en el día. ","")&amp;IF(AND(B517&lt;&gt;"",C517&lt;&gt;"",C517&lt;B517),"Cruza la medianoche. ","")&amp;IF(LEN(TRIM(F517))&lt;15,"Sin descripción suficiente. ","")&amp;IF(AND(ISERROR(SEARCH("R-0",F517)),ISERROR(SEARCH("CU-",F517))),"Sin ticket. ","")&amp;IF(ISNA(MATCH(E517,Datos!$E$8:$E$22,0)),"Proyecto sin valor hora. ","")&amp;IF(ISNA(MATCH(D517,Datos!$A$8:$A$22,0)),"Persona fuera del equipo. ","")))</f>
        <v/>
      </c>
      <c r="I517" s="21" t="n"/>
      <c r="J517" s="22" t="n"/>
      <c r="K517" s="23">
        <f>IF(G517="","",IF(J517&lt;&gt;"",MIN(J517,G517),IF(OR(I517="Observada",I517="Rechazada"),0,G517)))</f>
        <v/>
      </c>
      <c r="L517" s="24" t="n"/>
      <c r="M517" s="25">
        <f>IF(OR(A517="",D517=""),0,IF(COUNTIFS($A$2:A517,A517,$D$2:D517,D517)=1,1,0))</f>
        <v/>
      </c>
    </row>
    <row r="518">
      <c r="A518" s="26" t="n"/>
      <c r="B518" s="27" t="n"/>
      <c r="C518" s="27" t="n"/>
      <c r="D518" s="28" t="n"/>
      <c r="E518" s="28" t="n"/>
      <c r="F518" s="29" t="n"/>
      <c r="G518" s="30" t="n"/>
      <c r="H518" s="20">
        <f>IF(A518="","",TRIM(IF(WEEKDAY(A518,2)&gt;5,"Fin de semana. ","")&amp;IF(SUMIFS($G$2:$G$601,$A$2:$A$601,A518,$D$2:$D$601,D518)&gt;9,"Más de 9 h en el día. ","")&amp;IF(AND(B518&lt;&gt;"",C518&lt;&gt;"",C518&lt;B518),"Cruza la medianoche. ","")&amp;IF(LEN(TRIM(F518))&lt;15,"Sin descripción suficiente. ","")&amp;IF(AND(ISERROR(SEARCH("R-0",F518)),ISERROR(SEARCH("CU-",F518))),"Sin ticket. ","")&amp;IF(ISNA(MATCH(E518,Datos!$E$8:$E$22,0)),"Proyecto sin valor hora. ","")&amp;IF(ISNA(MATCH(D518,Datos!$A$8:$A$22,0)),"Persona fuera del equipo. ","")))</f>
        <v/>
      </c>
      <c r="I518" s="21" t="n"/>
      <c r="J518" s="22" t="n"/>
      <c r="K518" s="23">
        <f>IF(G518="","",IF(J518&lt;&gt;"",MIN(J518,G518),IF(OR(I518="Observada",I518="Rechazada"),0,G518)))</f>
        <v/>
      </c>
      <c r="L518" s="24" t="n"/>
      <c r="M518" s="25">
        <f>IF(OR(A518="",D518=""),0,IF(COUNTIFS($A$2:A518,A518,$D$2:D518,D518)=1,1,0))</f>
        <v/>
      </c>
    </row>
    <row r="519">
      <c r="A519" s="26" t="n"/>
      <c r="B519" s="27" t="n"/>
      <c r="C519" s="27" t="n"/>
      <c r="D519" s="28" t="n"/>
      <c r="E519" s="28" t="n"/>
      <c r="F519" s="29" t="n"/>
      <c r="G519" s="30" t="n"/>
      <c r="H519" s="20">
        <f>IF(A519="","",TRIM(IF(WEEKDAY(A519,2)&gt;5,"Fin de semana. ","")&amp;IF(SUMIFS($G$2:$G$601,$A$2:$A$601,A519,$D$2:$D$601,D519)&gt;9,"Más de 9 h en el día. ","")&amp;IF(AND(B519&lt;&gt;"",C519&lt;&gt;"",C519&lt;B519),"Cruza la medianoche. ","")&amp;IF(LEN(TRIM(F519))&lt;15,"Sin descripción suficiente. ","")&amp;IF(AND(ISERROR(SEARCH("R-0",F519)),ISERROR(SEARCH("CU-",F519))),"Sin ticket. ","")&amp;IF(ISNA(MATCH(E519,Datos!$E$8:$E$22,0)),"Proyecto sin valor hora. ","")&amp;IF(ISNA(MATCH(D519,Datos!$A$8:$A$22,0)),"Persona fuera del equipo. ","")))</f>
        <v/>
      </c>
      <c r="I519" s="21" t="n"/>
      <c r="J519" s="22" t="n"/>
      <c r="K519" s="23">
        <f>IF(G519="","",IF(J519&lt;&gt;"",MIN(J519,G519),IF(OR(I519="Observada",I519="Rechazada"),0,G519)))</f>
        <v/>
      </c>
      <c r="L519" s="24" t="n"/>
      <c r="M519" s="25">
        <f>IF(OR(A519="",D519=""),0,IF(COUNTIFS($A$2:A519,A519,$D$2:D519,D519)=1,1,0))</f>
        <v/>
      </c>
    </row>
    <row r="520">
      <c r="A520" s="26" t="n"/>
      <c r="B520" s="27" t="n"/>
      <c r="C520" s="27" t="n"/>
      <c r="D520" s="28" t="n"/>
      <c r="E520" s="28" t="n"/>
      <c r="F520" s="29" t="n"/>
      <c r="G520" s="30" t="n"/>
      <c r="H520" s="20">
        <f>IF(A520="","",TRIM(IF(WEEKDAY(A520,2)&gt;5,"Fin de semana. ","")&amp;IF(SUMIFS($G$2:$G$601,$A$2:$A$601,A520,$D$2:$D$601,D520)&gt;9,"Más de 9 h en el día. ","")&amp;IF(AND(B520&lt;&gt;"",C520&lt;&gt;"",C520&lt;B520),"Cruza la medianoche. ","")&amp;IF(LEN(TRIM(F520))&lt;15,"Sin descripción suficiente. ","")&amp;IF(AND(ISERROR(SEARCH("R-0",F520)),ISERROR(SEARCH("CU-",F520))),"Sin ticket. ","")&amp;IF(ISNA(MATCH(E520,Datos!$E$8:$E$22,0)),"Proyecto sin valor hora. ","")&amp;IF(ISNA(MATCH(D520,Datos!$A$8:$A$22,0)),"Persona fuera del equipo. ","")))</f>
        <v/>
      </c>
      <c r="I520" s="21" t="n"/>
      <c r="J520" s="22" t="n"/>
      <c r="K520" s="23">
        <f>IF(G520="","",IF(J520&lt;&gt;"",MIN(J520,G520),IF(OR(I520="Observada",I520="Rechazada"),0,G520)))</f>
        <v/>
      </c>
      <c r="L520" s="24" t="n"/>
      <c r="M520" s="25">
        <f>IF(OR(A520="",D520=""),0,IF(COUNTIFS($A$2:A520,A520,$D$2:D520,D520)=1,1,0))</f>
        <v/>
      </c>
    </row>
    <row r="521">
      <c r="A521" s="26" t="n"/>
      <c r="B521" s="27" t="n"/>
      <c r="C521" s="27" t="n"/>
      <c r="D521" s="28" t="n"/>
      <c r="E521" s="28" t="n"/>
      <c r="F521" s="29" t="n"/>
      <c r="G521" s="30" t="n"/>
      <c r="H521" s="20">
        <f>IF(A521="","",TRIM(IF(WEEKDAY(A521,2)&gt;5,"Fin de semana. ","")&amp;IF(SUMIFS($G$2:$G$601,$A$2:$A$601,A521,$D$2:$D$601,D521)&gt;9,"Más de 9 h en el día. ","")&amp;IF(AND(B521&lt;&gt;"",C521&lt;&gt;"",C521&lt;B521),"Cruza la medianoche. ","")&amp;IF(LEN(TRIM(F521))&lt;15,"Sin descripción suficiente. ","")&amp;IF(AND(ISERROR(SEARCH("R-0",F521)),ISERROR(SEARCH("CU-",F521))),"Sin ticket. ","")&amp;IF(ISNA(MATCH(E521,Datos!$E$8:$E$22,0)),"Proyecto sin valor hora. ","")&amp;IF(ISNA(MATCH(D521,Datos!$A$8:$A$22,0)),"Persona fuera del equipo. ","")))</f>
        <v/>
      </c>
      <c r="I521" s="21" t="n"/>
      <c r="J521" s="22" t="n"/>
      <c r="K521" s="23">
        <f>IF(G521="","",IF(J521&lt;&gt;"",MIN(J521,G521),IF(OR(I521="Observada",I521="Rechazada"),0,G521)))</f>
        <v/>
      </c>
      <c r="L521" s="24" t="n"/>
      <c r="M521" s="25">
        <f>IF(OR(A521="",D521=""),0,IF(COUNTIFS($A$2:A521,A521,$D$2:D521,D521)=1,1,0))</f>
        <v/>
      </c>
    </row>
    <row r="522">
      <c r="A522" s="26" t="n"/>
      <c r="B522" s="27" t="n"/>
      <c r="C522" s="27" t="n"/>
      <c r="D522" s="28" t="n"/>
      <c r="E522" s="28" t="n"/>
      <c r="F522" s="29" t="n"/>
      <c r="G522" s="30" t="n"/>
      <c r="H522" s="20">
        <f>IF(A522="","",TRIM(IF(WEEKDAY(A522,2)&gt;5,"Fin de semana. ","")&amp;IF(SUMIFS($G$2:$G$601,$A$2:$A$601,A522,$D$2:$D$601,D522)&gt;9,"Más de 9 h en el día. ","")&amp;IF(AND(B522&lt;&gt;"",C522&lt;&gt;"",C522&lt;B522),"Cruza la medianoche. ","")&amp;IF(LEN(TRIM(F522))&lt;15,"Sin descripción suficiente. ","")&amp;IF(AND(ISERROR(SEARCH("R-0",F522)),ISERROR(SEARCH("CU-",F522))),"Sin ticket. ","")&amp;IF(ISNA(MATCH(E522,Datos!$E$8:$E$22,0)),"Proyecto sin valor hora. ","")&amp;IF(ISNA(MATCH(D522,Datos!$A$8:$A$22,0)),"Persona fuera del equipo. ","")))</f>
        <v/>
      </c>
      <c r="I522" s="21" t="n"/>
      <c r="J522" s="22" t="n"/>
      <c r="K522" s="23">
        <f>IF(G522="","",IF(J522&lt;&gt;"",MIN(J522,G522),IF(OR(I522="Observada",I522="Rechazada"),0,G522)))</f>
        <v/>
      </c>
      <c r="L522" s="24" t="n"/>
      <c r="M522" s="25">
        <f>IF(OR(A522="",D522=""),0,IF(COUNTIFS($A$2:A522,A522,$D$2:D522,D522)=1,1,0))</f>
        <v/>
      </c>
    </row>
    <row r="523">
      <c r="A523" s="26" t="n"/>
      <c r="B523" s="27" t="n"/>
      <c r="C523" s="27" t="n"/>
      <c r="D523" s="28" t="n"/>
      <c r="E523" s="28" t="n"/>
      <c r="F523" s="29" t="n"/>
      <c r="G523" s="30" t="n"/>
      <c r="H523" s="20">
        <f>IF(A523="","",TRIM(IF(WEEKDAY(A523,2)&gt;5,"Fin de semana. ","")&amp;IF(SUMIFS($G$2:$G$601,$A$2:$A$601,A523,$D$2:$D$601,D523)&gt;9,"Más de 9 h en el día. ","")&amp;IF(AND(B523&lt;&gt;"",C523&lt;&gt;"",C523&lt;B523),"Cruza la medianoche. ","")&amp;IF(LEN(TRIM(F523))&lt;15,"Sin descripción suficiente. ","")&amp;IF(AND(ISERROR(SEARCH("R-0",F523)),ISERROR(SEARCH("CU-",F523))),"Sin ticket. ","")&amp;IF(ISNA(MATCH(E523,Datos!$E$8:$E$22,0)),"Proyecto sin valor hora. ","")&amp;IF(ISNA(MATCH(D523,Datos!$A$8:$A$22,0)),"Persona fuera del equipo. ","")))</f>
        <v/>
      </c>
      <c r="I523" s="21" t="n"/>
      <c r="J523" s="22" t="n"/>
      <c r="K523" s="23">
        <f>IF(G523="","",IF(J523&lt;&gt;"",MIN(J523,G523),IF(OR(I523="Observada",I523="Rechazada"),0,G523)))</f>
        <v/>
      </c>
      <c r="L523" s="24" t="n"/>
      <c r="M523" s="25">
        <f>IF(OR(A523="",D523=""),0,IF(COUNTIFS($A$2:A523,A523,$D$2:D523,D523)=1,1,0))</f>
        <v/>
      </c>
    </row>
    <row r="524">
      <c r="A524" s="26" t="n"/>
      <c r="B524" s="27" t="n"/>
      <c r="C524" s="27" t="n"/>
      <c r="D524" s="28" t="n"/>
      <c r="E524" s="28" t="n"/>
      <c r="F524" s="29" t="n"/>
      <c r="G524" s="30" t="n"/>
      <c r="H524" s="20">
        <f>IF(A524="","",TRIM(IF(WEEKDAY(A524,2)&gt;5,"Fin de semana. ","")&amp;IF(SUMIFS($G$2:$G$601,$A$2:$A$601,A524,$D$2:$D$601,D524)&gt;9,"Más de 9 h en el día. ","")&amp;IF(AND(B524&lt;&gt;"",C524&lt;&gt;"",C524&lt;B524),"Cruza la medianoche. ","")&amp;IF(LEN(TRIM(F524))&lt;15,"Sin descripción suficiente. ","")&amp;IF(AND(ISERROR(SEARCH("R-0",F524)),ISERROR(SEARCH("CU-",F524))),"Sin ticket. ","")&amp;IF(ISNA(MATCH(E524,Datos!$E$8:$E$22,0)),"Proyecto sin valor hora. ","")&amp;IF(ISNA(MATCH(D524,Datos!$A$8:$A$22,0)),"Persona fuera del equipo. ","")))</f>
        <v/>
      </c>
      <c r="I524" s="21" t="n"/>
      <c r="J524" s="22" t="n"/>
      <c r="K524" s="23">
        <f>IF(G524="","",IF(J524&lt;&gt;"",MIN(J524,G524),IF(OR(I524="Observada",I524="Rechazada"),0,G524)))</f>
        <v/>
      </c>
      <c r="L524" s="24" t="n"/>
      <c r="M524" s="25">
        <f>IF(OR(A524="",D524=""),0,IF(COUNTIFS($A$2:A524,A524,$D$2:D524,D524)=1,1,0))</f>
        <v/>
      </c>
    </row>
    <row r="525">
      <c r="A525" s="26" t="n"/>
      <c r="B525" s="27" t="n"/>
      <c r="C525" s="27" t="n"/>
      <c r="D525" s="28" t="n"/>
      <c r="E525" s="28" t="n"/>
      <c r="F525" s="29" t="n"/>
      <c r="G525" s="30" t="n"/>
      <c r="H525" s="20">
        <f>IF(A525="","",TRIM(IF(WEEKDAY(A525,2)&gt;5,"Fin de semana. ","")&amp;IF(SUMIFS($G$2:$G$601,$A$2:$A$601,A525,$D$2:$D$601,D525)&gt;9,"Más de 9 h en el día. ","")&amp;IF(AND(B525&lt;&gt;"",C525&lt;&gt;"",C525&lt;B525),"Cruza la medianoche. ","")&amp;IF(LEN(TRIM(F525))&lt;15,"Sin descripción suficiente. ","")&amp;IF(AND(ISERROR(SEARCH("R-0",F525)),ISERROR(SEARCH("CU-",F525))),"Sin ticket. ","")&amp;IF(ISNA(MATCH(E525,Datos!$E$8:$E$22,0)),"Proyecto sin valor hora. ","")&amp;IF(ISNA(MATCH(D525,Datos!$A$8:$A$22,0)),"Persona fuera del equipo. ","")))</f>
        <v/>
      </c>
      <c r="I525" s="21" t="n"/>
      <c r="J525" s="22" t="n"/>
      <c r="K525" s="23">
        <f>IF(G525="","",IF(J525&lt;&gt;"",MIN(J525,G525),IF(OR(I525="Observada",I525="Rechazada"),0,G525)))</f>
        <v/>
      </c>
      <c r="L525" s="24" t="n"/>
      <c r="M525" s="25">
        <f>IF(OR(A525="",D525=""),0,IF(COUNTIFS($A$2:A525,A525,$D$2:D525,D525)=1,1,0))</f>
        <v/>
      </c>
    </row>
    <row r="526">
      <c r="A526" s="26" t="n"/>
      <c r="B526" s="27" t="n"/>
      <c r="C526" s="27" t="n"/>
      <c r="D526" s="28" t="n"/>
      <c r="E526" s="28" t="n"/>
      <c r="F526" s="29" t="n"/>
      <c r="G526" s="30" t="n"/>
      <c r="H526" s="20">
        <f>IF(A526="","",TRIM(IF(WEEKDAY(A526,2)&gt;5,"Fin de semana. ","")&amp;IF(SUMIFS($G$2:$G$601,$A$2:$A$601,A526,$D$2:$D$601,D526)&gt;9,"Más de 9 h en el día. ","")&amp;IF(AND(B526&lt;&gt;"",C526&lt;&gt;"",C526&lt;B526),"Cruza la medianoche. ","")&amp;IF(LEN(TRIM(F526))&lt;15,"Sin descripción suficiente. ","")&amp;IF(AND(ISERROR(SEARCH("R-0",F526)),ISERROR(SEARCH("CU-",F526))),"Sin ticket. ","")&amp;IF(ISNA(MATCH(E526,Datos!$E$8:$E$22,0)),"Proyecto sin valor hora. ","")&amp;IF(ISNA(MATCH(D526,Datos!$A$8:$A$22,0)),"Persona fuera del equipo. ","")))</f>
        <v/>
      </c>
      <c r="I526" s="21" t="n"/>
      <c r="J526" s="22" t="n"/>
      <c r="K526" s="23">
        <f>IF(G526="","",IF(J526&lt;&gt;"",MIN(J526,G526),IF(OR(I526="Observada",I526="Rechazada"),0,G526)))</f>
        <v/>
      </c>
      <c r="L526" s="24" t="n"/>
      <c r="M526" s="25">
        <f>IF(OR(A526="",D526=""),0,IF(COUNTIFS($A$2:A526,A526,$D$2:D526,D526)=1,1,0))</f>
        <v/>
      </c>
    </row>
    <row r="527">
      <c r="A527" s="26" t="n"/>
      <c r="B527" s="27" t="n"/>
      <c r="C527" s="27" t="n"/>
      <c r="D527" s="28" t="n"/>
      <c r="E527" s="28" t="n"/>
      <c r="F527" s="29" t="n"/>
      <c r="G527" s="30" t="n"/>
      <c r="H527" s="20">
        <f>IF(A527="","",TRIM(IF(WEEKDAY(A527,2)&gt;5,"Fin de semana. ","")&amp;IF(SUMIFS($G$2:$G$601,$A$2:$A$601,A527,$D$2:$D$601,D527)&gt;9,"Más de 9 h en el día. ","")&amp;IF(AND(B527&lt;&gt;"",C527&lt;&gt;"",C527&lt;B527),"Cruza la medianoche. ","")&amp;IF(LEN(TRIM(F527))&lt;15,"Sin descripción suficiente. ","")&amp;IF(AND(ISERROR(SEARCH("R-0",F527)),ISERROR(SEARCH("CU-",F527))),"Sin ticket. ","")&amp;IF(ISNA(MATCH(E527,Datos!$E$8:$E$22,0)),"Proyecto sin valor hora. ","")&amp;IF(ISNA(MATCH(D527,Datos!$A$8:$A$22,0)),"Persona fuera del equipo. ","")))</f>
        <v/>
      </c>
      <c r="I527" s="21" t="n"/>
      <c r="J527" s="22" t="n"/>
      <c r="K527" s="23">
        <f>IF(G527="","",IF(J527&lt;&gt;"",MIN(J527,G527),IF(OR(I527="Observada",I527="Rechazada"),0,G527)))</f>
        <v/>
      </c>
      <c r="L527" s="24" t="n"/>
      <c r="M527" s="25">
        <f>IF(OR(A527="",D527=""),0,IF(COUNTIFS($A$2:A527,A527,$D$2:D527,D527)=1,1,0))</f>
        <v/>
      </c>
    </row>
    <row r="528">
      <c r="A528" s="26" t="n"/>
      <c r="B528" s="27" t="n"/>
      <c r="C528" s="27" t="n"/>
      <c r="D528" s="28" t="n"/>
      <c r="E528" s="28" t="n"/>
      <c r="F528" s="29" t="n"/>
      <c r="G528" s="30" t="n"/>
      <c r="H528" s="20">
        <f>IF(A528="","",TRIM(IF(WEEKDAY(A528,2)&gt;5,"Fin de semana. ","")&amp;IF(SUMIFS($G$2:$G$601,$A$2:$A$601,A528,$D$2:$D$601,D528)&gt;9,"Más de 9 h en el día. ","")&amp;IF(AND(B528&lt;&gt;"",C528&lt;&gt;"",C528&lt;B528),"Cruza la medianoche. ","")&amp;IF(LEN(TRIM(F528))&lt;15,"Sin descripción suficiente. ","")&amp;IF(AND(ISERROR(SEARCH("R-0",F528)),ISERROR(SEARCH("CU-",F528))),"Sin ticket. ","")&amp;IF(ISNA(MATCH(E528,Datos!$E$8:$E$22,0)),"Proyecto sin valor hora. ","")&amp;IF(ISNA(MATCH(D528,Datos!$A$8:$A$22,0)),"Persona fuera del equipo. ","")))</f>
        <v/>
      </c>
      <c r="I528" s="21" t="n"/>
      <c r="J528" s="22" t="n"/>
      <c r="K528" s="23">
        <f>IF(G528="","",IF(J528&lt;&gt;"",MIN(J528,G528),IF(OR(I528="Observada",I528="Rechazada"),0,G528)))</f>
        <v/>
      </c>
      <c r="L528" s="24" t="n"/>
      <c r="M528" s="25">
        <f>IF(OR(A528="",D528=""),0,IF(COUNTIFS($A$2:A528,A528,$D$2:D528,D528)=1,1,0))</f>
        <v/>
      </c>
    </row>
    <row r="529">
      <c r="A529" s="26" t="n"/>
      <c r="B529" s="27" t="n"/>
      <c r="C529" s="27" t="n"/>
      <c r="D529" s="28" t="n"/>
      <c r="E529" s="28" t="n"/>
      <c r="F529" s="29" t="n"/>
      <c r="G529" s="30" t="n"/>
      <c r="H529" s="20">
        <f>IF(A529="","",TRIM(IF(WEEKDAY(A529,2)&gt;5,"Fin de semana. ","")&amp;IF(SUMIFS($G$2:$G$601,$A$2:$A$601,A529,$D$2:$D$601,D529)&gt;9,"Más de 9 h en el día. ","")&amp;IF(AND(B529&lt;&gt;"",C529&lt;&gt;"",C529&lt;B529),"Cruza la medianoche. ","")&amp;IF(LEN(TRIM(F529))&lt;15,"Sin descripción suficiente. ","")&amp;IF(AND(ISERROR(SEARCH("R-0",F529)),ISERROR(SEARCH("CU-",F529))),"Sin ticket. ","")&amp;IF(ISNA(MATCH(E529,Datos!$E$8:$E$22,0)),"Proyecto sin valor hora. ","")&amp;IF(ISNA(MATCH(D529,Datos!$A$8:$A$22,0)),"Persona fuera del equipo. ","")))</f>
        <v/>
      </c>
      <c r="I529" s="21" t="n"/>
      <c r="J529" s="22" t="n"/>
      <c r="K529" s="23">
        <f>IF(G529="","",IF(J529&lt;&gt;"",MIN(J529,G529),IF(OR(I529="Observada",I529="Rechazada"),0,G529)))</f>
        <v/>
      </c>
      <c r="L529" s="24" t="n"/>
      <c r="M529" s="25">
        <f>IF(OR(A529="",D529=""),0,IF(COUNTIFS($A$2:A529,A529,$D$2:D529,D529)=1,1,0))</f>
        <v/>
      </c>
    </row>
    <row r="530">
      <c r="A530" s="26" t="n"/>
      <c r="B530" s="27" t="n"/>
      <c r="C530" s="27" t="n"/>
      <c r="D530" s="28" t="n"/>
      <c r="E530" s="28" t="n"/>
      <c r="F530" s="29" t="n"/>
      <c r="G530" s="30" t="n"/>
      <c r="H530" s="20">
        <f>IF(A530="","",TRIM(IF(WEEKDAY(A530,2)&gt;5,"Fin de semana. ","")&amp;IF(SUMIFS($G$2:$G$601,$A$2:$A$601,A530,$D$2:$D$601,D530)&gt;9,"Más de 9 h en el día. ","")&amp;IF(AND(B530&lt;&gt;"",C530&lt;&gt;"",C530&lt;B530),"Cruza la medianoche. ","")&amp;IF(LEN(TRIM(F530))&lt;15,"Sin descripción suficiente. ","")&amp;IF(AND(ISERROR(SEARCH("R-0",F530)),ISERROR(SEARCH("CU-",F530))),"Sin ticket. ","")&amp;IF(ISNA(MATCH(E530,Datos!$E$8:$E$22,0)),"Proyecto sin valor hora. ","")&amp;IF(ISNA(MATCH(D530,Datos!$A$8:$A$22,0)),"Persona fuera del equipo. ","")))</f>
        <v/>
      </c>
      <c r="I530" s="21" t="n"/>
      <c r="J530" s="22" t="n"/>
      <c r="K530" s="23">
        <f>IF(G530="","",IF(J530&lt;&gt;"",MIN(J530,G530),IF(OR(I530="Observada",I530="Rechazada"),0,G530)))</f>
        <v/>
      </c>
      <c r="L530" s="24" t="n"/>
      <c r="M530" s="25">
        <f>IF(OR(A530="",D530=""),0,IF(COUNTIFS($A$2:A530,A530,$D$2:D530,D530)=1,1,0))</f>
        <v/>
      </c>
    </row>
    <row r="531">
      <c r="A531" s="26" t="n"/>
      <c r="B531" s="27" t="n"/>
      <c r="C531" s="27" t="n"/>
      <c r="D531" s="28" t="n"/>
      <c r="E531" s="28" t="n"/>
      <c r="F531" s="29" t="n"/>
      <c r="G531" s="30" t="n"/>
      <c r="H531" s="20">
        <f>IF(A531="","",TRIM(IF(WEEKDAY(A531,2)&gt;5,"Fin de semana. ","")&amp;IF(SUMIFS($G$2:$G$601,$A$2:$A$601,A531,$D$2:$D$601,D531)&gt;9,"Más de 9 h en el día. ","")&amp;IF(AND(B531&lt;&gt;"",C531&lt;&gt;"",C531&lt;B531),"Cruza la medianoche. ","")&amp;IF(LEN(TRIM(F531))&lt;15,"Sin descripción suficiente. ","")&amp;IF(AND(ISERROR(SEARCH("R-0",F531)),ISERROR(SEARCH("CU-",F531))),"Sin ticket. ","")&amp;IF(ISNA(MATCH(E531,Datos!$E$8:$E$22,0)),"Proyecto sin valor hora. ","")&amp;IF(ISNA(MATCH(D531,Datos!$A$8:$A$22,0)),"Persona fuera del equipo. ","")))</f>
        <v/>
      </c>
      <c r="I531" s="21" t="n"/>
      <c r="J531" s="22" t="n"/>
      <c r="K531" s="23">
        <f>IF(G531="","",IF(J531&lt;&gt;"",MIN(J531,G531),IF(OR(I531="Observada",I531="Rechazada"),0,G531)))</f>
        <v/>
      </c>
      <c r="L531" s="24" t="n"/>
      <c r="M531" s="25">
        <f>IF(OR(A531="",D531=""),0,IF(COUNTIFS($A$2:A531,A531,$D$2:D531,D531)=1,1,0))</f>
        <v/>
      </c>
    </row>
    <row r="532">
      <c r="A532" s="26" t="n"/>
      <c r="B532" s="27" t="n"/>
      <c r="C532" s="27" t="n"/>
      <c r="D532" s="28" t="n"/>
      <c r="E532" s="28" t="n"/>
      <c r="F532" s="29" t="n"/>
      <c r="G532" s="30" t="n"/>
      <c r="H532" s="20">
        <f>IF(A532="","",TRIM(IF(WEEKDAY(A532,2)&gt;5,"Fin de semana. ","")&amp;IF(SUMIFS($G$2:$G$601,$A$2:$A$601,A532,$D$2:$D$601,D532)&gt;9,"Más de 9 h en el día. ","")&amp;IF(AND(B532&lt;&gt;"",C532&lt;&gt;"",C532&lt;B532),"Cruza la medianoche. ","")&amp;IF(LEN(TRIM(F532))&lt;15,"Sin descripción suficiente. ","")&amp;IF(AND(ISERROR(SEARCH("R-0",F532)),ISERROR(SEARCH("CU-",F532))),"Sin ticket. ","")&amp;IF(ISNA(MATCH(E532,Datos!$E$8:$E$22,0)),"Proyecto sin valor hora. ","")&amp;IF(ISNA(MATCH(D532,Datos!$A$8:$A$22,0)),"Persona fuera del equipo. ","")))</f>
        <v/>
      </c>
      <c r="I532" s="21" t="n"/>
      <c r="J532" s="22" t="n"/>
      <c r="K532" s="23">
        <f>IF(G532="","",IF(J532&lt;&gt;"",MIN(J532,G532),IF(OR(I532="Observada",I532="Rechazada"),0,G532)))</f>
        <v/>
      </c>
      <c r="L532" s="24" t="n"/>
      <c r="M532" s="25">
        <f>IF(OR(A532="",D532=""),0,IF(COUNTIFS($A$2:A532,A532,$D$2:D532,D532)=1,1,0))</f>
        <v/>
      </c>
    </row>
    <row r="533">
      <c r="A533" s="26" t="n"/>
      <c r="B533" s="27" t="n"/>
      <c r="C533" s="27" t="n"/>
      <c r="D533" s="28" t="n"/>
      <c r="E533" s="28" t="n"/>
      <c r="F533" s="29" t="n"/>
      <c r="G533" s="30" t="n"/>
      <c r="H533" s="20">
        <f>IF(A533="","",TRIM(IF(WEEKDAY(A533,2)&gt;5,"Fin de semana. ","")&amp;IF(SUMIFS($G$2:$G$601,$A$2:$A$601,A533,$D$2:$D$601,D533)&gt;9,"Más de 9 h en el día. ","")&amp;IF(AND(B533&lt;&gt;"",C533&lt;&gt;"",C533&lt;B533),"Cruza la medianoche. ","")&amp;IF(LEN(TRIM(F533))&lt;15,"Sin descripción suficiente. ","")&amp;IF(AND(ISERROR(SEARCH("R-0",F533)),ISERROR(SEARCH("CU-",F533))),"Sin ticket. ","")&amp;IF(ISNA(MATCH(E533,Datos!$E$8:$E$22,0)),"Proyecto sin valor hora. ","")&amp;IF(ISNA(MATCH(D533,Datos!$A$8:$A$22,0)),"Persona fuera del equipo. ","")))</f>
        <v/>
      </c>
      <c r="I533" s="21" t="n"/>
      <c r="J533" s="22" t="n"/>
      <c r="K533" s="23">
        <f>IF(G533="","",IF(J533&lt;&gt;"",MIN(J533,G533),IF(OR(I533="Observada",I533="Rechazada"),0,G533)))</f>
        <v/>
      </c>
      <c r="L533" s="24" t="n"/>
      <c r="M533" s="25">
        <f>IF(OR(A533="",D533=""),0,IF(COUNTIFS($A$2:A533,A533,$D$2:D533,D533)=1,1,0))</f>
        <v/>
      </c>
    </row>
    <row r="534">
      <c r="A534" s="26" t="n"/>
      <c r="B534" s="27" t="n"/>
      <c r="C534" s="27" t="n"/>
      <c r="D534" s="28" t="n"/>
      <c r="E534" s="28" t="n"/>
      <c r="F534" s="29" t="n"/>
      <c r="G534" s="30" t="n"/>
      <c r="H534" s="20">
        <f>IF(A534="","",TRIM(IF(WEEKDAY(A534,2)&gt;5,"Fin de semana. ","")&amp;IF(SUMIFS($G$2:$G$601,$A$2:$A$601,A534,$D$2:$D$601,D534)&gt;9,"Más de 9 h en el día. ","")&amp;IF(AND(B534&lt;&gt;"",C534&lt;&gt;"",C534&lt;B534),"Cruza la medianoche. ","")&amp;IF(LEN(TRIM(F534))&lt;15,"Sin descripción suficiente. ","")&amp;IF(AND(ISERROR(SEARCH("R-0",F534)),ISERROR(SEARCH("CU-",F534))),"Sin ticket. ","")&amp;IF(ISNA(MATCH(E534,Datos!$E$8:$E$22,0)),"Proyecto sin valor hora. ","")&amp;IF(ISNA(MATCH(D534,Datos!$A$8:$A$22,0)),"Persona fuera del equipo. ","")))</f>
        <v/>
      </c>
      <c r="I534" s="21" t="n"/>
      <c r="J534" s="22" t="n"/>
      <c r="K534" s="23">
        <f>IF(G534="","",IF(J534&lt;&gt;"",MIN(J534,G534),IF(OR(I534="Observada",I534="Rechazada"),0,G534)))</f>
        <v/>
      </c>
      <c r="L534" s="24" t="n"/>
      <c r="M534" s="25">
        <f>IF(OR(A534="",D534=""),0,IF(COUNTIFS($A$2:A534,A534,$D$2:D534,D534)=1,1,0))</f>
        <v/>
      </c>
    </row>
    <row r="535">
      <c r="A535" s="26" t="n"/>
      <c r="B535" s="27" t="n"/>
      <c r="C535" s="27" t="n"/>
      <c r="D535" s="28" t="n"/>
      <c r="E535" s="28" t="n"/>
      <c r="F535" s="29" t="n"/>
      <c r="G535" s="30" t="n"/>
      <c r="H535" s="20">
        <f>IF(A535="","",TRIM(IF(WEEKDAY(A535,2)&gt;5,"Fin de semana. ","")&amp;IF(SUMIFS($G$2:$G$601,$A$2:$A$601,A535,$D$2:$D$601,D535)&gt;9,"Más de 9 h en el día. ","")&amp;IF(AND(B535&lt;&gt;"",C535&lt;&gt;"",C535&lt;B535),"Cruza la medianoche. ","")&amp;IF(LEN(TRIM(F535))&lt;15,"Sin descripción suficiente. ","")&amp;IF(AND(ISERROR(SEARCH("R-0",F535)),ISERROR(SEARCH("CU-",F535))),"Sin ticket. ","")&amp;IF(ISNA(MATCH(E535,Datos!$E$8:$E$22,0)),"Proyecto sin valor hora. ","")&amp;IF(ISNA(MATCH(D535,Datos!$A$8:$A$22,0)),"Persona fuera del equipo. ","")))</f>
        <v/>
      </c>
      <c r="I535" s="21" t="n"/>
      <c r="J535" s="22" t="n"/>
      <c r="K535" s="23">
        <f>IF(G535="","",IF(J535&lt;&gt;"",MIN(J535,G535),IF(OR(I535="Observada",I535="Rechazada"),0,G535)))</f>
        <v/>
      </c>
      <c r="L535" s="24" t="n"/>
      <c r="M535" s="25">
        <f>IF(OR(A535="",D535=""),0,IF(COUNTIFS($A$2:A535,A535,$D$2:D535,D535)=1,1,0))</f>
        <v/>
      </c>
    </row>
    <row r="536">
      <c r="A536" s="26" t="n"/>
      <c r="B536" s="27" t="n"/>
      <c r="C536" s="27" t="n"/>
      <c r="D536" s="28" t="n"/>
      <c r="E536" s="28" t="n"/>
      <c r="F536" s="29" t="n"/>
      <c r="G536" s="30" t="n"/>
      <c r="H536" s="20">
        <f>IF(A536="","",TRIM(IF(WEEKDAY(A536,2)&gt;5,"Fin de semana. ","")&amp;IF(SUMIFS($G$2:$G$601,$A$2:$A$601,A536,$D$2:$D$601,D536)&gt;9,"Más de 9 h en el día. ","")&amp;IF(AND(B536&lt;&gt;"",C536&lt;&gt;"",C536&lt;B536),"Cruza la medianoche. ","")&amp;IF(LEN(TRIM(F536))&lt;15,"Sin descripción suficiente. ","")&amp;IF(AND(ISERROR(SEARCH("R-0",F536)),ISERROR(SEARCH("CU-",F536))),"Sin ticket. ","")&amp;IF(ISNA(MATCH(E536,Datos!$E$8:$E$22,0)),"Proyecto sin valor hora. ","")&amp;IF(ISNA(MATCH(D536,Datos!$A$8:$A$22,0)),"Persona fuera del equipo. ","")))</f>
        <v/>
      </c>
      <c r="I536" s="21" t="n"/>
      <c r="J536" s="22" t="n"/>
      <c r="K536" s="23">
        <f>IF(G536="","",IF(J536&lt;&gt;"",MIN(J536,G536),IF(OR(I536="Observada",I536="Rechazada"),0,G536)))</f>
        <v/>
      </c>
      <c r="L536" s="24" t="n"/>
      <c r="M536" s="25">
        <f>IF(OR(A536="",D536=""),0,IF(COUNTIFS($A$2:A536,A536,$D$2:D536,D536)=1,1,0))</f>
        <v/>
      </c>
    </row>
    <row r="537">
      <c r="A537" s="26" t="n"/>
      <c r="B537" s="27" t="n"/>
      <c r="C537" s="27" t="n"/>
      <c r="D537" s="28" t="n"/>
      <c r="E537" s="28" t="n"/>
      <c r="F537" s="29" t="n"/>
      <c r="G537" s="30" t="n"/>
      <c r="H537" s="20">
        <f>IF(A537="","",TRIM(IF(WEEKDAY(A537,2)&gt;5,"Fin de semana. ","")&amp;IF(SUMIFS($G$2:$G$601,$A$2:$A$601,A537,$D$2:$D$601,D537)&gt;9,"Más de 9 h en el día. ","")&amp;IF(AND(B537&lt;&gt;"",C537&lt;&gt;"",C537&lt;B537),"Cruza la medianoche. ","")&amp;IF(LEN(TRIM(F537))&lt;15,"Sin descripción suficiente. ","")&amp;IF(AND(ISERROR(SEARCH("R-0",F537)),ISERROR(SEARCH("CU-",F537))),"Sin ticket. ","")&amp;IF(ISNA(MATCH(E537,Datos!$E$8:$E$22,0)),"Proyecto sin valor hora. ","")&amp;IF(ISNA(MATCH(D537,Datos!$A$8:$A$22,0)),"Persona fuera del equipo. ","")))</f>
        <v/>
      </c>
      <c r="I537" s="21" t="n"/>
      <c r="J537" s="22" t="n"/>
      <c r="K537" s="23">
        <f>IF(G537="","",IF(J537&lt;&gt;"",MIN(J537,G537),IF(OR(I537="Observada",I537="Rechazada"),0,G537)))</f>
        <v/>
      </c>
      <c r="L537" s="24" t="n"/>
      <c r="M537" s="25">
        <f>IF(OR(A537="",D537=""),0,IF(COUNTIFS($A$2:A537,A537,$D$2:D537,D537)=1,1,0))</f>
        <v/>
      </c>
    </row>
    <row r="538">
      <c r="A538" s="26" t="n"/>
      <c r="B538" s="27" t="n"/>
      <c r="C538" s="27" t="n"/>
      <c r="D538" s="28" t="n"/>
      <c r="E538" s="28" t="n"/>
      <c r="F538" s="29" t="n"/>
      <c r="G538" s="30" t="n"/>
      <c r="H538" s="20">
        <f>IF(A538="","",TRIM(IF(WEEKDAY(A538,2)&gt;5,"Fin de semana. ","")&amp;IF(SUMIFS($G$2:$G$601,$A$2:$A$601,A538,$D$2:$D$601,D538)&gt;9,"Más de 9 h en el día. ","")&amp;IF(AND(B538&lt;&gt;"",C538&lt;&gt;"",C538&lt;B538),"Cruza la medianoche. ","")&amp;IF(LEN(TRIM(F538))&lt;15,"Sin descripción suficiente. ","")&amp;IF(AND(ISERROR(SEARCH("R-0",F538)),ISERROR(SEARCH("CU-",F538))),"Sin ticket. ","")&amp;IF(ISNA(MATCH(E538,Datos!$E$8:$E$22,0)),"Proyecto sin valor hora. ","")&amp;IF(ISNA(MATCH(D538,Datos!$A$8:$A$22,0)),"Persona fuera del equipo. ","")))</f>
        <v/>
      </c>
      <c r="I538" s="21" t="n"/>
      <c r="J538" s="22" t="n"/>
      <c r="K538" s="23">
        <f>IF(G538="","",IF(J538&lt;&gt;"",MIN(J538,G538),IF(OR(I538="Observada",I538="Rechazada"),0,G538)))</f>
        <v/>
      </c>
      <c r="L538" s="24" t="n"/>
      <c r="M538" s="25">
        <f>IF(OR(A538="",D538=""),0,IF(COUNTIFS($A$2:A538,A538,$D$2:D538,D538)=1,1,0))</f>
        <v/>
      </c>
    </row>
    <row r="539">
      <c r="A539" s="26" t="n"/>
      <c r="B539" s="27" t="n"/>
      <c r="C539" s="27" t="n"/>
      <c r="D539" s="28" t="n"/>
      <c r="E539" s="28" t="n"/>
      <c r="F539" s="29" t="n"/>
      <c r="G539" s="30" t="n"/>
      <c r="H539" s="20">
        <f>IF(A539="","",TRIM(IF(WEEKDAY(A539,2)&gt;5,"Fin de semana. ","")&amp;IF(SUMIFS($G$2:$G$601,$A$2:$A$601,A539,$D$2:$D$601,D539)&gt;9,"Más de 9 h en el día. ","")&amp;IF(AND(B539&lt;&gt;"",C539&lt;&gt;"",C539&lt;B539),"Cruza la medianoche. ","")&amp;IF(LEN(TRIM(F539))&lt;15,"Sin descripción suficiente. ","")&amp;IF(AND(ISERROR(SEARCH("R-0",F539)),ISERROR(SEARCH("CU-",F539))),"Sin ticket. ","")&amp;IF(ISNA(MATCH(E539,Datos!$E$8:$E$22,0)),"Proyecto sin valor hora. ","")&amp;IF(ISNA(MATCH(D539,Datos!$A$8:$A$22,0)),"Persona fuera del equipo. ","")))</f>
        <v/>
      </c>
      <c r="I539" s="21" t="n"/>
      <c r="J539" s="22" t="n"/>
      <c r="K539" s="23">
        <f>IF(G539="","",IF(J539&lt;&gt;"",MIN(J539,G539),IF(OR(I539="Observada",I539="Rechazada"),0,G539)))</f>
        <v/>
      </c>
      <c r="L539" s="24" t="n"/>
      <c r="M539" s="25">
        <f>IF(OR(A539="",D539=""),0,IF(COUNTIFS($A$2:A539,A539,$D$2:D539,D539)=1,1,0))</f>
        <v/>
      </c>
    </row>
    <row r="540">
      <c r="A540" s="26" t="n"/>
      <c r="B540" s="27" t="n"/>
      <c r="C540" s="27" t="n"/>
      <c r="D540" s="28" t="n"/>
      <c r="E540" s="28" t="n"/>
      <c r="F540" s="29" t="n"/>
      <c r="G540" s="30" t="n"/>
      <c r="H540" s="20">
        <f>IF(A540="","",TRIM(IF(WEEKDAY(A540,2)&gt;5,"Fin de semana. ","")&amp;IF(SUMIFS($G$2:$G$601,$A$2:$A$601,A540,$D$2:$D$601,D540)&gt;9,"Más de 9 h en el día. ","")&amp;IF(AND(B540&lt;&gt;"",C540&lt;&gt;"",C540&lt;B540),"Cruza la medianoche. ","")&amp;IF(LEN(TRIM(F540))&lt;15,"Sin descripción suficiente. ","")&amp;IF(AND(ISERROR(SEARCH("R-0",F540)),ISERROR(SEARCH("CU-",F540))),"Sin ticket. ","")&amp;IF(ISNA(MATCH(E540,Datos!$E$8:$E$22,0)),"Proyecto sin valor hora. ","")&amp;IF(ISNA(MATCH(D540,Datos!$A$8:$A$22,0)),"Persona fuera del equipo. ","")))</f>
        <v/>
      </c>
      <c r="I540" s="21" t="n"/>
      <c r="J540" s="22" t="n"/>
      <c r="K540" s="23">
        <f>IF(G540="","",IF(J540&lt;&gt;"",MIN(J540,G540),IF(OR(I540="Observada",I540="Rechazada"),0,G540)))</f>
        <v/>
      </c>
      <c r="L540" s="24" t="n"/>
      <c r="M540" s="25">
        <f>IF(OR(A540="",D540=""),0,IF(COUNTIFS($A$2:A540,A540,$D$2:D540,D540)=1,1,0))</f>
        <v/>
      </c>
    </row>
    <row r="541">
      <c r="A541" s="26" t="n"/>
      <c r="B541" s="27" t="n"/>
      <c r="C541" s="27" t="n"/>
      <c r="D541" s="28" t="n"/>
      <c r="E541" s="28" t="n"/>
      <c r="F541" s="29" t="n"/>
      <c r="G541" s="30" t="n"/>
      <c r="H541" s="20">
        <f>IF(A541="","",TRIM(IF(WEEKDAY(A541,2)&gt;5,"Fin de semana. ","")&amp;IF(SUMIFS($G$2:$G$601,$A$2:$A$601,A541,$D$2:$D$601,D541)&gt;9,"Más de 9 h en el día. ","")&amp;IF(AND(B541&lt;&gt;"",C541&lt;&gt;"",C541&lt;B541),"Cruza la medianoche. ","")&amp;IF(LEN(TRIM(F541))&lt;15,"Sin descripción suficiente. ","")&amp;IF(AND(ISERROR(SEARCH("R-0",F541)),ISERROR(SEARCH("CU-",F541))),"Sin ticket. ","")&amp;IF(ISNA(MATCH(E541,Datos!$E$8:$E$22,0)),"Proyecto sin valor hora. ","")&amp;IF(ISNA(MATCH(D541,Datos!$A$8:$A$22,0)),"Persona fuera del equipo. ","")))</f>
        <v/>
      </c>
      <c r="I541" s="21" t="n"/>
      <c r="J541" s="22" t="n"/>
      <c r="K541" s="23">
        <f>IF(G541="","",IF(J541&lt;&gt;"",MIN(J541,G541),IF(OR(I541="Observada",I541="Rechazada"),0,G541)))</f>
        <v/>
      </c>
      <c r="L541" s="24" t="n"/>
      <c r="M541" s="25">
        <f>IF(OR(A541="",D541=""),0,IF(COUNTIFS($A$2:A541,A541,$D$2:D541,D541)=1,1,0))</f>
        <v/>
      </c>
    </row>
    <row r="542">
      <c r="A542" s="26" t="n"/>
      <c r="B542" s="27" t="n"/>
      <c r="C542" s="27" t="n"/>
      <c r="D542" s="28" t="n"/>
      <c r="E542" s="28" t="n"/>
      <c r="F542" s="29" t="n"/>
      <c r="G542" s="30" t="n"/>
      <c r="H542" s="20">
        <f>IF(A542="","",TRIM(IF(WEEKDAY(A542,2)&gt;5,"Fin de semana. ","")&amp;IF(SUMIFS($G$2:$G$601,$A$2:$A$601,A542,$D$2:$D$601,D542)&gt;9,"Más de 9 h en el día. ","")&amp;IF(AND(B542&lt;&gt;"",C542&lt;&gt;"",C542&lt;B542),"Cruza la medianoche. ","")&amp;IF(LEN(TRIM(F542))&lt;15,"Sin descripción suficiente. ","")&amp;IF(AND(ISERROR(SEARCH("R-0",F542)),ISERROR(SEARCH("CU-",F542))),"Sin ticket. ","")&amp;IF(ISNA(MATCH(E542,Datos!$E$8:$E$22,0)),"Proyecto sin valor hora. ","")&amp;IF(ISNA(MATCH(D542,Datos!$A$8:$A$22,0)),"Persona fuera del equipo. ","")))</f>
        <v/>
      </c>
      <c r="I542" s="21" t="n"/>
      <c r="J542" s="22" t="n"/>
      <c r="K542" s="23">
        <f>IF(G542="","",IF(J542&lt;&gt;"",MIN(J542,G542),IF(OR(I542="Observada",I542="Rechazada"),0,G542)))</f>
        <v/>
      </c>
      <c r="L542" s="24" t="n"/>
      <c r="M542" s="25">
        <f>IF(OR(A542="",D542=""),0,IF(COUNTIFS($A$2:A542,A542,$D$2:D542,D542)=1,1,0))</f>
        <v/>
      </c>
    </row>
    <row r="543">
      <c r="A543" s="26" t="n"/>
      <c r="B543" s="27" t="n"/>
      <c r="C543" s="27" t="n"/>
      <c r="D543" s="28" t="n"/>
      <c r="E543" s="28" t="n"/>
      <c r="F543" s="29" t="n"/>
      <c r="G543" s="30" t="n"/>
      <c r="H543" s="20">
        <f>IF(A543="","",TRIM(IF(WEEKDAY(A543,2)&gt;5,"Fin de semana. ","")&amp;IF(SUMIFS($G$2:$G$601,$A$2:$A$601,A543,$D$2:$D$601,D543)&gt;9,"Más de 9 h en el día. ","")&amp;IF(AND(B543&lt;&gt;"",C543&lt;&gt;"",C543&lt;B543),"Cruza la medianoche. ","")&amp;IF(LEN(TRIM(F543))&lt;15,"Sin descripción suficiente. ","")&amp;IF(AND(ISERROR(SEARCH("R-0",F543)),ISERROR(SEARCH("CU-",F543))),"Sin ticket. ","")&amp;IF(ISNA(MATCH(E543,Datos!$E$8:$E$22,0)),"Proyecto sin valor hora. ","")&amp;IF(ISNA(MATCH(D543,Datos!$A$8:$A$22,0)),"Persona fuera del equipo. ","")))</f>
        <v/>
      </c>
      <c r="I543" s="21" t="n"/>
      <c r="J543" s="22" t="n"/>
      <c r="K543" s="23">
        <f>IF(G543="","",IF(J543&lt;&gt;"",MIN(J543,G543),IF(OR(I543="Observada",I543="Rechazada"),0,G543)))</f>
        <v/>
      </c>
      <c r="L543" s="24" t="n"/>
      <c r="M543" s="25">
        <f>IF(OR(A543="",D543=""),0,IF(COUNTIFS($A$2:A543,A543,$D$2:D543,D543)=1,1,0))</f>
        <v/>
      </c>
    </row>
    <row r="544">
      <c r="A544" s="26" t="n"/>
      <c r="B544" s="27" t="n"/>
      <c r="C544" s="27" t="n"/>
      <c r="D544" s="28" t="n"/>
      <c r="E544" s="28" t="n"/>
      <c r="F544" s="29" t="n"/>
      <c r="G544" s="30" t="n"/>
      <c r="H544" s="20">
        <f>IF(A544="","",TRIM(IF(WEEKDAY(A544,2)&gt;5,"Fin de semana. ","")&amp;IF(SUMIFS($G$2:$G$601,$A$2:$A$601,A544,$D$2:$D$601,D544)&gt;9,"Más de 9 h en el día. ","")&amp;IF(AND(B544&lt;&gt;"",C544&lt;&gt;"",C544&lt;B544),"Cruza la medianoche. ","")&amp;IF(LEN(TRIM(F544))&lt;15,"Sin descripción suficiente. ","")&amp;IF(AND(ISERROR(SEARCH("R-0",F544)),ISERROR(SEARCH("CU-",F544))),"Sin ticket. ","")&amp;IF(ISNA(MATCH(E544,Datos!$E$8:$E$22,0)),"Proyecto sin valor hora. ","")&amp;IF(ISNA(MATCH(D544,Datos!$A$8:$A$22,0)),"Persona fuera del equipo. ","")))</f>
        <v/>
      </c>
      <c r="I544" s="21" t="n"/>
      <c r="J544" s="22" t="n"/>
      <c r="K544" s="23">
        <f>IF(G544="","",IF(J544&lt;&gt;"",MIN(J544,G544),IF(OR(I544="Observada",I544="Rechazada"),0,G544)))</f>
        <v/>
      </c>
      <c r="L544" s="24" t="n"/>
      <c r="M544" s="25">
        <f>IF(OR(A544="",D544=""),0,IF(COUNTIFS($A$2:A544,A544,$D$2:D544,D544)=1,1,0))</f>
        <v/>
      </c>
    </row>
    <row r="545">
      <c r="A545" s="26" t="n"/>
      <c r="B545" s="27" t="n"/>
      <c r="C545" s="27" t="n"/>
      <c r="D545" s="28" t="n"/>
      <c r="E545" s="28" t="n"/>
      <c r="F545" s="29" t="n"/>
      <c r="G545" s="30" t="n"/>
      <c r="H545" s="20">
        <f>IF(A545="","",TRIM(IF(WEEKDAY(A545,2)&gt;5,"Fin de semana. ","")&amp;IF(SUMIFS($G$2:$G$601,$A$2:$A$601,A545,$D$2:$D$601,D545)&gt;9,"Más de 9 h en el día. ","")&amp;IF(AND(B545&lt;&gt;"",C545&lt;&gt;"",C545&lt;B545),"Cruza la medianoche. ","")&amp;IF(LEN(TRIM(F545))&lt;15,"Sin descripción suficiente. ","")&amp;IF(AND(ISERROR(SEARCH("R-0",F545)),ISERROR(SEARCH("CU-",F545))),"Sin ticket. ","")&amp;IF(ISNA(MATCH(E545,Datos!$E$8:$E$22,0)),"Proyecto sin valor hora. ","")&amp;IF(ISNA(MATCH(D545,Datos!$A$8:$A$22,0)),"Persona fuera del equipo. ","")))</f>
        <v/>
      </c>
      <c r="I545" s="21" t="n"/>
      <c r="J545" s="22" t="n"/>
      <c r="K545" s="23">
        <f>IF(G545="","",IF(J545&lt;&gt;"",MIN(J545,G545),IF(OR(I545="Observada",I545="Rechazada"),0,G545)))</f>
        <v/>
      </c>
      <c r="L545" s="24" t="n"/>
      <c r="M545" s="25">
        <f>IF(OR(A545="",D545=""),0,IF(COUNTIFS($A$2:A545,A545,$D$2:D545,D545)=1,1,0))</f>
        <v/>
      </c>
    </row>
    <row r="546">
      <c r="A546" s="26" t="n"/>
      <c r="B546" s="27" t="n"/>
      <c r="C546" s="27" t="n"/>
      <c r="D546" s="28" t="n"/>
      <c r="E546" s="28" t="n"/>
      <c r="F546" s="29" t="n"/>
      <c r="G546" s="30" t="n"/>
      <c r="H546" s="20">
        <f>IF(A546="","",TRIM(IF(WEEKDAY(A546,2)&gt;5,"Fin de semana. ","")&amp;IF(SUMIFS($G$2:$G$601,$A$2:$A$601,A546,$D$2:$D$601,D546)&gt;9,"Más de 9 h en el día. ","")&amp;IF(AND(B546&lt;&gt;"",C546&lt;&gt;"",C546&lt;B546),"Cruza la medianoche. ","")&amp;IF(LEN(TRIM(F546))&lt;15,"Sin descripción suficiente. ","")&amp;IF(AND(ISERROR(SEARCH("R-0",F546)),ISERROR(SEARCH("CU-",F546))),"Sin ticket. ","")&amp;IF(ISNA(MATCH(E546,Datos!$E$8:$E$22,0)),"Proyecto sin valor hora. ","")&amp;IF(ISNA(MATCH(D546,Datos!$A$8:$A$22,0)),"Persona fuera del equipo. ","")))</f>
        <v/>
      </c>
      <c r="I546" s="21" t="n"/>
      <c r="J546" s="22" t="n"/>
      <c r="K546" s="23">
        <f>IF(G546="","",IF(J546&lt;&gt;"",MIN(J546,G546),IF(OR(I546="Observada",I546="Rechazada"),0,G546)))</f>
        <v/>
      </c>
      <c r="L546" s="24" t="n"/>
      <c r="M546" s="25">
        <f>IF(OR(A546="",D546=""),0,IF(COUNTIFS($A$2:A546,A546,$D$2:D546,D546)=1,1,0))</f>
        <v/>
      </c>
    </row>
    <row r="547">
      <c r="A547" s="26" t="n"/>
      <c r="B547" s="27" t="n"/>
      <c r="C547" s="27" t="n"/>
      <c r="D547" s="28" t="n"/>
      <c r="E547" s="28" t="n"/>
      <c r="F547" s="29" t="n"/>
      <c r="G547" s="30" t="n"/>
      <c r="H547" s="20">
        <f>IF(A547="","",TRIM(IF(WEEKDAY(A547,2)&gt;5,"Fin de semana. ","")&amp;IF(SUMIFS($G$2:$G$601,$A$2:$A$601,A547,$D$2:$D$601,D547)&gt;9,"Más de 9 h en el día. ","")&amp;IF(AND(B547&lt;&gt;"",C547&lt;&gt;"",C547&lt;B547),"Cruza la medianoche. ","")&amp;IF(LEN(TRIM(F547))&lt;15,"Sin descripción suficiente. ","")&amp;IF(AND(ISERROR(SEARCH("R-0",F547)),ISERROR(SEARCH("CU-",F547))),"Sin ticket. ","")&amp;IF(ISNA(MATCH(E547,Datos!$E$8:$E$22,0)),"Proyecto sin valor hora. ","")&amp;IF(ISNA(MATCH(D547,Datos!$A$8:$A$22,0)),"Persona fuera del equipo. ","")))</f>
        <v/>
      </c>
      <c r="I547" s="21" t="n"/>
      <c r="J547" s="22" t="n"/>
      <c r="K547" s="23">
        <f>IF(G547="","",IF(J547&lt;&gt;"",MIN(J547,G547),IF(OR(I547="Observada",I547="Rechazada"),0,G547)))</f>
        <v/>
      </c>
      <c r="L547" s="24" t="n"/>
      <c r="M547" s="25">
        <f>IF(OR(A547="",D547=""),0,IF(COUNTIFS($A$2:A547,A547,$D$2:D547,D547)=1,1,0))</f>
        <v/>
      </c>
    </row>
    <row r="548">
      <c r="A548" s="26" t="n"/>
      <c r="B548" s="27" t="n"/>
      <c r="C548" s="27" t="n"/>
      <c r="D548" s="28" t="n"/>
      <c r="E548" s="28" t="n"/>
      <c r="F548" s="29" t="n"/>
      <c r="G548" s="30" t="n"/>
      <c r="H548" s="20">
        <f>IF(A548="","",TRIM(IF(WEEKDAY(A548,2)&gt;5,"Fin de semana. ","")&amp;IF(SUMIFS($G$2:$G$601,$A$2:$A$601,A548,$D$2:$D$601,D548)&gt;9,"Más de 9 h en el día. ","")&amp;IF(AND(B548&lt;&gt;"",C548&lt;&gt;"",C548&lt;B548),"Cruza la medianoche. ","")&amp;IF(LEN(TRIM(F548))&lt;15,"Sin descripción suficiente. ","")&amp;IF(AND(ISERROR(SEARCH("R-0",F548)),ISERROR(SEARCH("CU-",F548))),"Sin ticket. ","")&amp;IF(ISNA(MATCH(E548,Datos!$E$8:$E$22,0)),"Proyecto sin valor hora. ","")&amp;IF(ISNA(MATCH(D548,Datos!$A$8:$A$22,0)),"Persona fuera del equipo. ","")))</f>
        <v/>
      </c>
      <c r="I548" s="21" t="n"/>
      <c r="J548" s="22" t="n"/>
      <c r="K548" s="23">
        <f>IF(G548="","",IF(J548&lt;&gt;"",MIN(J548,G548),IF(OR(I548="Observada",I548="Rechazada"),0,G548)))</f>
        <v/>
      </c>
      <c r="L548" s="24" t="n"/>
      <c r="M548" s="25">
        <f>IF(OR(A548="",D548=""),0,IF(COUNTIFS($A$2:A548,A548,$D$2:D548,D548)=1,1,0))</f>
        <v/>
      </c>
    </row>
    <row r="549">
      <c r="A549" s="26" t="n"/>
      <c r="B549" s="27" t="n"/>
      <c r="C549" s="27" t="n"/>
      <c r="D549" s="28" t="n"/>
      <c r="E549" s="28" t="n"/>
      <c r="F549" s="29" t="n"/>
      <c r="G549" s="30" t="n"/>
      <c r="H549" s="20">
        <f>IF(A549="","",TRIM(IF(WEEKDAY(A549,2)&gt;5,"Fin de semana. ","")&amp;IF(SUMIFS($G$2:$G$601,$A$2:$A$601,A549,$D$2:$D$601,D549)&gt;9,"Más de 9 h en el día. ","")&amp;IF(AND(B549&lt;&gt;"",C549&lt;&gt;"",C549&lt;B549),"Cruza la medianoche. ","")&amp;IF(LEN(TRIM(F549))&lt;15,"Sin descripción suficiente. ","")&amp;IF(AND(ISERROR(SEARCH("R-0",F549)),ISERROR(SEARCH("CU-",F549))),"Sin ticket. ","")&amp;IF(ISNA(MATCH(E549,Datos!$E$8:$E$22,0)),"Proyecto sin valor hora. ","")&amp;IF(ISNA(MATCH(D549,Datos!$A$8:$A$22,0)),"Persona fuera del equipo. ","")))</f>
        <v/>
      </c>
      <c r="I549" s="21" t="n"/>
      <c r="J549" s="22" t="n"/>
      <c r="K549" s="23">
        <f>IF(G549="","",IF(J549&lt;&gt;"",MIN(J549,G549),IF(OR(I549="Observada",I549="Rechazada"),0,G549)))</f>
        <v/>
      </c>
      <c r="L549" s="24" t="n"/>
      <c r="M549" s="25">
        <f>IF(OR(A549="",D549=""),0,IF(COUNTIFS($A$2:A549,A549,$D$2:D549,D549)=1,1,0))</f>
        <v/>
      </c>
    </row>
    <row r="550">
      <c r="A550" s="26" t="n"/>
      <c r="B550" s="27" t="n"/>
      <c r="C550" s="27" t="n"/>
      <c r="D550" s="28" t="n"/>
      <c r="E550" s="28" t="n"/>
      <c r="F550" s="29" t="n"/>
      <c r="G550" s="30" t="n"/>
      <c r="H550" s="20">
        <f>IF(A550="","",TRIM(IF(WEEKDAY(A550,2)&gt;5,"Fin de semana. ","")&amp;IF(SUMIFS($G$2:$G$601,$A$2:$A$601,A550,$D$2:$D$601,D550)&gt;9,"Más de 9 h en el día. ","")&amp;IF(AND(B550&lt;&gt;"",C550&lt;&gt;"",C550&lt;B550),"Cruza la medianoche. ","")&amp;IF(LEN(TRIM(F550))&lt;15,"Sin descripción suficiente. ","")&amp;IF(AND(ISERROR(SEARCH("R-0",F550)),ISERROR(SEARCH("CU-",F550))),"Sin ticket. ","")&amp;IF(ISNA(MATCH(E550,Datos!$E$8:$E$22,0)),"Proyecto sin valor hora. ","")&amp;IF(ISNA(MATCH(D550,Datos!$A$8:$A$22,0)),"Persona fuera del equipo. ","")))</f>
        <v/>
      </c>
      <c r="I550" s="21" t="n"/>
      <c r="J550" s="22" t="n"/>
      <c r="K550" s="23">
        <f>IF(G550="","",IF(J550&lt;&gt;"",MIN(J550,G550),IF(OR(I550="Observada",I550="Rechazada"),0,G550)))</f>
        <v/>
      </c>
      <c r="L550" s="24" t="n"/>
      <c r="M550" s="25">
        <f>IF(OR(A550="",D550=""),0,IF(COUNTIFS($A$2:A550,A550,$D$2:D550,D550)=1,1,0))</f>
        <v/>
      </c>
    </row>
    <row r="551">
      <c r="A551" s="26" t="n"/>
      <c r="B551" s="27" t="n"/>
      <c r="C551" s="27" t="n"/>
      <c r="D551" s="28" t="n"/>
      <c r="E551" s="28" t="n"/>
      <c r="F551" s="29" t="n"/>
      <c r="G551" s="30" t="n"/>
      <c r="H551" s="20">
        <f>IF(A551="","",TRIM(IF(WEEKDAY(A551,2)&gt;5,"Fin de semana. ","")&amp;IF(SUMIFS($G$2:$G$601,$A$2:$A$601,A551,$D$2:$D$601,D551)&gt;9,"Más de 9 h en el día. ","")&amp;IF(AND(B551&lt;&gt;"",C551&lt;&gt;"",C551&lt;B551),"Cruza la medianoche. ","")&amp;IF(LEN(TRIM(F551))&lt;15,"Sin descripción suficiente. ","")&amp;IF(AND(ISERROR(SEARCH("R-0",F551)),ISERROR(SEARCH("CU-",F551))),"Sin ticket. ","")&amp;IF(ISNA(MATCH(E551,Datos!$E$8:$E$22,0)),"Proyecto sin valor hora. ","")&amp;IF(ISNA(MATCH(D551,Datos!$A$8:$A$22,0)),"Persona fuera del equipo. ","")))</f>
        <v/>
      </c>
      <c r="I551" s="21" t="n"/>
      <c r="J551" s="22" t="n"/>
      <c r="K551" s="23">
        <f>IF(G551="","",IF(J551&lt;&gt;"",MIN(J551,G551),IF(OR(I551="Observada",I551="Rechazada"),0,G551)))</f>
        <v/>
      </c>
      <c r="L551" s="24" t="n"/>
      <c r="M551" s="25">
        <f>IF(OR(A551="",D551=""),0,IF(COUNTIFS($A$2:A551,A551,$D$2:D551,D551)=1,1,0))</f>
        <v/>
      </c>
    </row>
    <row r="552">
      <c r="A552" s="26" t="n"/>
      <c r="B552" s="27" t="n"/>
      <c r="C552" s="27" t="n"/>
      <c r="D552" s="28" t="n"/>
      <c r="E552" s="28" t="n"/>
      <c r="F552" s="29" t="n"/>
      <c r="G552" s="30" t="n"/>
      <c r="H552" s="20">
        <f>IF(A552="","",TRIM(IF(WEEKDAY(A552,2)&gt;5,"Fin de semana. ","")&amp;IF(SUMIFS($G$2:$G$601,$A$2:$A$601,A552,$D$2:$D$601,D552)&gt;9,"Más de 9 h en el día. ","")&amp;IF(AND(B552&lt;&gt;"",C552&lt;&gt;"",C552&lt;B552),"Cruza la medianoche. ","")&amp;IF(LEN(TRIM(F552))&lt;15,"Sin descripción suficiente. ","")&amp;IF(AND(ISERROR(SEARCH("R-0",F552)),ISERROR(SEARCH("CU-",F552))),"Sin ticket. ","")&amp;IF(ISNA(MATCH(E552,Datos!$E$8:$E$22,0)),"Proyecto sin valor hora. ","")&amp;IF(ISNA(MATCH(D552,Datos!$A$8:$A$22,0)),"Persona fuera del equipo. ","")))</f>
        <v/>
      </c>
      <c r="I552" s="21" t="n"/>
      <c r="J552" s="22" t="n"/>
      <c r="K552" s="23">
        <f>IF(G552="","",IF(J552&lt;&gt;"",MIN(J552,G552),IF(OR(I552="Observada",I552="Rechazada"),0,G552)))</f>
        <v/>
      </c>
      <c r="L552" s="24" t="n"/>
      <c r="M552" s="25">
        <f>IF(OR(A552="",D552=""),0,IF(COUNTIFS($A$2:A552,A552,$D$2:D552,D552)=1,1,0))</f>
        <v/>
      </c>
    </row>
    <row r="553">
      <c r="A553" s="26" t="n"/>
      <c r="B553" s="27" t="n"/>
      <c r="C553" s="27" t="n"/>
      <c r="D553" s="28" t="n"/>
      <c r="E553" s="28" t="n"/>
      <c r="F553" s="29" t="n"/>
      <c r="G553" s="30" t="n"/>
      <c r="H553" s="20">
        <f>IF(A553="","",TRIM(IF(WEEKDAY(A553,2)&gt;5,"Fin de semana. ","")&amp;IF(SUMIFS($G$2:$G$601,$A$2:$A$601,A553,$D$2:$D$601,D553)&gt;9,"Más de 9 h en el día. ","")&amp;IF(AND(B553&lt;&gt;"",C553&lt;&gt;"",C553&lt;B553),"Cruza la medianoche. ","")&amp;IF(LEN(TRIM(F553))&lt;15,"Sin descripción suficiente. ","")&amp;IF(AND(ISERROR(SEARCH("R-0",F553)),ISERROR(SEARCH("CU-",F553))),"Sin ticket. ","")&amp;IF(ISNA(MATCH(E553,Datos!$E$8:$E$22,0)),"Proyecto sin valor hora. ","")&amp;IF(ISNA(MATCH(D553,Datos!$A$8:$A$22,0)),"Persona fuera del equipo. ","")))</f>
        <v/>
      </c>
      <c r="I553" s="21" t="n"/>
      <c r="J553" s="22" t="n"/>
      <c r="K553" s="23">
        <f>IF(G553="","",IF(J553&lt;&gt;"",MIN(J553,G553),IF(OR(I553="Observada",I553="Rechazada"),0,G553)))</f>
        <v/>
      </c>
      <c r="L553" s="24" t="n"/>
      <c r="M553" s="25">
        <f>IF(OR(A553="",D553=""),0,IF(COUNTIFS($A$2:A553,A553,$D$2:D553,D553)=1,1,0))</f>
        <v/>
      </c>
    </row>
    <row r="554">
      <c r="A554" s="26" t="n"/>
      <c r="B554" s="27" t="n"/>
      <c r="C554" s="27" t="n"/>
      <c r="D554" s="28" t="n"/>
      <c r="E554" s="28" t="n"/>
      <c r="F554" s="29" t="n"/>
      <c r="G554" s="30" t="n"/>
      <c r="H554" s="20">
        <f>IF(A554="","",TRIM(IF(WEEKDAY(A554,2)&gt;5,"Fin de semana. ","")&amp;IF(SUMIFS($G$2:$G$601,$A$2:$A$601,A554,$D$2:$D$601,D554)&gt;9,"Más de 9 h en el día. ","")&amp;IF(AND(B554&lt;&gt;"",C554&lt;&gt;"",C554&lt;B554),"Cruza la medianoche. ","")&amp;IF(LEN(TRIM(F554))&lt;15,"Sin descripción suficiente. ","")&amp;IF(AND(ISERROR(SEARCH("R-0",F554)),ISERROR(SEARCH("CU-",F554))),"Sin ticket. ","")&amp;IF(ISNA(MATCH(E554,Datos!$E$8:$E$22,0)),"Proyecto sin valor hora. ","")&amp;IF(ISNA(MATCH(D554,Datos!$A$8:$A$22,0)),"Persona fuera del equipo. ","")))</f>
        <v/>
      </c>
      <c r="I554" s="21" t="n"/>
      <c r="J554" s="22" t="n"/>
      <c r="K554" s="23">
        <f>IF(G554="","",IF(J554&lt;&gt;"",MIN(J554,G554),IF(OR(I554="Observada",I554="Rechazada"),0,G554)))</f>
        <v/>
      </c>
      <c r="L554" s="24" t="n"/>
      <c r="M554" s="25">
        <f>IF(OR(A554="",D554=""),0,IF(COUNTIFS($A$2:A554,A554,$D$2:D554,D554)=1,1,0))</f>
        <v/>
      </c>
    </row>
    <row r="555">
      <c r="A555" s="26" t="n"/>
      <c r="B555" s="27" t="n"/>
      <c r="C555" s="27" t="n"/>
      <c r="D555" s="28" t="n"/>
      <c r="E555" s="28" t="n"/>
      <c r="F555" s="29" t="n"/>
      <c r="G555" s="30" t="n"/>
      <c r="H555" s="20">
        <f>IF(A555="","",TRIM(IF(WEEKDAY(A555,2)&gt;5,"Fin de semana. ","")&amp;IF(SUMIFS($G$2:$G$601,$A$2:$A$601,A555,$D$2:$D$601,D555)&gt;9,"Más de 9 h en el día. ","")&amp;IF(AND(B555&lt;&gt;"",C555&lt;&gt;"",C555&lt;B555),"Cruza la medianoche. ","")&amp;IF(LEN(TRIM(F555))&lt;15,"Sin descripción suficiente. ","")&amp;IF(AND(ISERROR(SEARCH("R-0",F555)),ISERROR(SEARCH("CU-",F555))),"Sin ticket. ","")&amp;IF(ISNA(MATCH(E555,Datos!$E$8:$E$22,0)),"Proyecto sin valor hora. ","")&amp;IF(ISNA(MATCH(D555,Datos!$A$8:$A$22,0)),"Persona fuera del equipo. ","")))</f>
        <v/>
      </c>
      <c r="I555" s="21" t="n"/>
      <c r="J555" s="22" t="n"/>
      <c r="K555" s="23">
        <f>IF(G555="","",IF(J555&lt;&gt;"",MIN(J555,G555),IF(OR(I555="Observada",I555="Rechazada"),0,G555)))</f>
        <v/>
      </c>
      <c r="L555" s="24" t="n"/>
      <c r="M555" s="25">
        <f>IF(OR(A555="",D555=""),0,IF(COUNTIFS($A$2:A555,A555,$D$2:D555,D555)=1,1,0))</f>
        <v/>
      </c>
    </row>
    <row r="556">
      <c r="A556" s="26" t="n"/>
      <c r="B556" s="27" t="n"/>
      <c r="C556" s="27" t="n"/>
      <c r="D556" s="28" t="n"/>
      <c r="E556" s="28" t="n"/>
      <c r="F556" s="29" t="n"/>
      <c r="G556" s="30" t="n"/>
      <c r="H556" s="20">
        <f>IF(A556="","",TRIM(IF(WEEKDAY(A556,2)&gt;5,"Fin de semana. ","")&amp;IF(SUMIFS($G$2:$G$601,$A$2:$A$601,A556,$D$2:$D$601,D556)&gt;9,"Más de 9 h en el día. ","")&amp;IF(AND(B556&lt;&gt;"",C556&lt;&gt;"",C556&lt;B556),"Cruza la medianoche. ","")&amp;IF(LEN(TRIM(F556))&lt;15,"Sin descripción suficiente. ","")&amp;IF(AND(ISERROR(SEARCH("R-0",F556)),ISERROR(SEARCH("CU-",F556))),"Sin ticket. ","")&amp;IF(ISNA(MATCH(E556,Datos!$E$8:$E$22,0)),"Proyecto sin valor hora. ","")&amp;IF(ISNA(MATCH(D556,Datos!$A$8:$A$22,0)),"Persona fuera del equipo. ","")))</f>
        <v/>
      </c>
      <c r="I556" s="21" t="n"/>
      <c r="J556" s="22" t="n"/>
      <c r="K556" s="23">
        <f>IF(G556="","",IF(J556&lt;&gt;"",MIN(J556,G556),IF(OR(I556="Observada",I556="Rechazada"),0,G556)))</f>
        <v/>
      </c>
      <c r="L556" s="24" t="n"/>
      <c r="M556" s="25">
        <f>IF(OR(A556="",D556=""),0,IF(COUNTIFS($A$2:A556,A556,$D$2:D556,D556)=1,1,0))</f>
        <v/>
      </c>
    </row>
    <row r="557">
      <c r="A557" s="26" t="n"/>
      <c r="B557" s="27" t="n"/>
      <c r="C557" s="27" t="n"/>
      <c r="D557" s="28" t="n"/>
      <c r="E557" s="28" t="n"/>
      <c r="F557" s="29" t="n"/>
      <c r="G557" s="30" t="n"/>
      <c r="H557" s="20">
        <f>IF(A557="","",TRIM(IF(WEEKDAY(A557,2)&gt;5,"Fin de semana. ","")&amp;IF(SUMIFS($G$2:$G$601,$A$2:$A$601,A557,$D$2:$D$601,D557)&gt;9,"Más de 9 h en el día. ","")&amp;IF(AND(B557&lt;&gt;"",C557&lt;&gt;"",C557&lt;B557),"Cruza la medianoche. ","")&amp;IF(LEN(TRIM(F557))&lt;15,"Sin descripción suficiente. ","")&amp;IF(AND(ISERROR(SEARCH("R-0",F557)),ISERROR(SEARCH("CU-",F557))),"Sin ticket. ","")&amp;IF(ISNA(MATCH(E557,Datos!$E$8:$E$22,0)),"Proyecto sin valor hora. ","")&amp;IF(ISNA(MATCH(D557,Datos!$A$8:$A$22,0)),"Persona fuera del equipo. ","")))</f>
        <v/>
      </c>
      <c r="I557" s="21" t="n"/>
      <c r="J557" s="22" t="n"/>
      <c r="K557" s="23">
        <f>IF(G557="","",IF(J557&lt;&gt;"",MIN(J557,G557),IF(OR(I557="Observada",I557="Rechazada"),0,G557)))</f>
        <v/>
      </c>
      <c r="L557" s="24" t="n"/>
      <c r="M557" s="25">
        <f>IF(OR(A557="",D557=""),0,IF(COUNTIFS($A$2:A557,A557,$D$2:D557,D557)=1,1,0))</f>
        <v/>
      </c>
    </row>
    <row r="558">
      <c r="A558" s="26" t="n"/>
      <c r="B558" s="27" t="n"/>
      <c r="C558" s="27" t="n"/>
      <c r="D558" s="28" t="n"/>
      <c r="E558" s="28" t="n"/>
      <c r="F558" s="29" t="n"/>
      <c r="G558" s="30" t="n"/>
      <c r="H558" s="20">
        <f>IF(A558="","",TRIM(IF(WEEKDAY(A558,2)&gt;5,"Fin de semana. ","")&amp;IF(SUMIFS($G$2:$G$601,$A$2:$A$601,A558,$D$2:$D$601,D558)&gt;9,"Más de 9 h en el día. ","")&amp;IF(AND(B558&lt;&gt;"",C558&lt;&gt;"",C558&lt;B558),"Cruza la medianoche. ","")&amp;IF(LEN(TRIM(F558))&lt;15,"Sin descripción suficiente. ","")&amp;IF(AND(ISERROR(SEARCH("R-0",F558)),ISERROR(SEARCH("CU-",F558))),"Sin ticket. ","")&amp;IF(ISNA(MATCH(E558,Datos!$E$8:$E$22,0)),"Proyecto sin valor hora. ","")&amp;IF(ISNA(MATCH(D558,Datos!$A$8:$A$22,0)),"Persona fuera del equipo. ","")))</f>
        <v/>
      </c>
      <c r="I558" s="21" t="n"/>
      <c r="J558" s="22" t="n"/>
      <c r="K558" s="23">
        <f>IF(G558="","",IF(J558&lt;&gt;"",MIN(J558,G558),IF(OR(I558="Observada",I558="Rechazada"),0,G558)))</f>
        <v/>
      </c>
      <c r="L558" s="24" t="n"/>
      <c r="M558" s="25">
        <f>IF(OR(A558="",D558=""),0,IF(COUNTIFS($A$2:A558,A558,$D$2:D558,D558)=1,1,0))</f>
        <v/>
      </c>
    </row>
    <row r="559">
      <c r="A559" s="26" t="n"/>
      <c r="B559" s="27" t="n"/>
      <c r="C559" s="27" t="n"/>
      <c r="D559" s="28" t="n"/>
      <c r="E559" s="28" t="n"/>
      <c r="F559" s="29" t="n"/>
      <c r="G559" s="30" t="n"/>
      <c r="H559" s="20">
        <f>IF(A559="","",TRIM(IF(WEEKDAY(A559,2)&gt;5,"Fin de semana. ","")&amp;IF(SUMIFS($G$2:$G$601,$A$2:$A$601,A559,$D$2:$D$601,D559)&gt;9,"Más de 9 h en el día. ","")&amp;IF(AND(B559&lt;&gt;"",C559&lt;&gt;"",C559&lt;B559),"Cruza la medianoche. ","")&amp;IF(LEN(TRIM(F559))&lt;15,"Sin descripción suficiente. ","")&amp;IF(AND(ISERROR(SEARCH("R-0",F559)),ISERROR(SEARCH("CU-",F559))),"Sin ticket. ","")&amp;IF(ISNA(MATCH(E559,Datos!$E$8:$E$22,0)),"Proyecto sin valor hora. ","")&amp;IF(ISNA(MATCH(D559,Datos!$A$8:$A$22,0)),"Persona fuera del equipo. ","")))</f>
        <v/>
      </c>
      <c r="I559" s="21" t="n"/>
      <c r="J559" s="22" t="n"/>
      <c r="K559" s="23">
        <f>IF(G559="","",IF(J559&lt;&gt;"",MIN(J559,G559),IF(OR(I559="Observada",I559="Rechazada"),0,G559)))</f>
        <v/>
      </c>
      <c r="L559" s="24" t="n"/>
      <c r="M559" s="25">
        <f>IF(OR(A559="",D559=""),0,IF(COUNTIFS($A$2:A559,A559,$D$2:D559,D559)=1,1,0))</f>
        <v/>
      </c>
    </row>
    <row r="560">
      <c r="A560" s="26" t="n"/>
      <c r="B560" s="27" t="n"/>
      <c r="C560" s="27" t="n"/>
      <c r="D560" s="28" t="n"/>
      <c r="E560" s="28" t="n"/>
      <c r="F560" s="29" t="n"/>
      <c r="G560" s="30" t="n"/>
      <c r="H560" s="20">
        <f>IF(A560="","",TRIM(IF(WEEKDAY(A560,2)&gt;5,"Fin de semana. ","")&amp;IF(SUMIFS($G$2:$G$601,$A$2:$A$601,A560,$D$2:$D$601,D560)&gt;9,"Más de 9 h en el día. ","")&amp;IF(AND(B560&lt;&gt;"",C560&lt;&gt;"",C560&lt;B560),"Cruza la medianoche. ","")&amp;IF(LEN(TRIM(F560))&lt;15,"Sin descripción suficiente. ","")&amp;IF(AND(ISERROR(SEARCH("R-0",F560)),ISERROR(SEARCH("CU-",F560))),"Sin ticket. ","")&amp;IF(ISNA(MATCH(E560,Datos!$E$8:$E$22,0)),"Proyecto sin valor hora. ","")&amp;IF(ISNA(MATCH(D560,Datos!$A$8:$A$22,0)),"Persona fuera del equipo. ","")))</f>
        <v/>
      </c>
      <c r="I560" s="21" t="n"/>
      <c r="J560" s="22" t="n"/>
      <c r="K560" s="23">
        <f>IF(G560="","",IF(J560&lt;&gt;"",MIN(J560,G560),IF(OR(I560="Observada",I560="Rechazada"),0,G560)))</f>
        <v/>
      </c>
      <c r="L560" s="24" t="n"/>
      <c r="M560" s="25">
        <f>IF(OR(A560="",D560=""),0,IF(COUNTIFS($A$2:A560,A560,$D$2:D560,D560)=1,1,0))</f>
        <v/>
      </c>
    </row>
    <row r="561">
      <c r="A561" s="26" t="n"/>
      <c r="B561" s="27" t="n"/>
      <c r="C561" s="27" t="n"/>
      <c r="D561" s="28" t="n"/>
      <c r="E561" s="28" t="n"/>
      <c r="F561" s="29" t="n"/>
      <c r="G561" s="30" t="n"/>
      <c r="H561" s="20">
        <f>IF(A561="","",TRIM(IF(WEEKDAY(A561,2)&gt;5,"Fin de semana. ","")&amp;IF(SUMIFS($G$2:$G$601,$A$2:$A$601,A561,$D$2:$D$601,D561)&gt;9,"Más de 9 h en el día. ","")&amp;IF(AND(B561&lt;&gt;"",C561&lt;&gt;"",C561&lt;B561),"Cruza la medianoche. ","")&amp;IF(LEN(TRIM(F561))&lt;15,"Sin descripción suficiente. ","")&amp;IF(AND(ISERROR(SEARCH("R-0",F561)),ISERROR(SEARCH("CU-",F561))),"Sin ticket. ","")&amp;IF(ISNA(MATCH(E561,Datos!$E$8:$E$22,0)),"Proyecto sin valor hora. ","")&amp;IF(ISNA(MATCH(D561,Datos!$A$8:$A$22,0)),"Persona fuera del equipo. ","")))</f>
        <v/>
      </c>
      <c r="I561" s="21" t="n"/>
      <c r="J561" s="22" t="n"/>
      <c r="K561" s="23">
        <f>IF(G561="","",IF(J561&lt;&gt;"",MIN(J561,G561),IF(OR(I561="Observada",I561="Rechazada"),0,G561)))</f>
        <v/>
      </c>
      <c r="L561" s="24" t="n"/>
      <c r="M561" s="25">
        <f>IF(OR(A561="",D561=""),0,IF(COUNTIFS($A$2:A561,A561,$D$2:D561,D561)=1,1,0))</f>
        <v/>
      </c>
    </row>
    <row r="562">
      <c r="A562" s="26" t="n"/>
      <c r="B562" s="27" t="n"/>
      <c r="C562" s="27" t="n"/>
      <c r="D562" s="28" t="n"/>
      <c r="E562" s="28" t="n"/>
      <c r="F562" s="29" t="n"/>
      <c r="G562" s="30" t="n"/>
      <c r="H562" s="20">
        <f>IF(A562="","",TRIM(IF(WEEKDAY(A562,2)&gt;5,"Fin de semana. ","")&amp;IF(SUMIFS($G$2:$G$601,$A$2:$A$601,A562,$D$2:$D$601,D562)&gt;9,"Más de 9 h en el día. ","")&amp;IF(AND(B562&lt;&gt;"",C562&lt;&gt;"",C562&lt;B562),"Cruza la medianoche. ","")&amp;IF(LEN(TRIM(F562))&lt;15,"Sin descripción suficiente. ","")&amp;IF(AND(ISERROR(SEARCH("R-0",F562)),ISERROR(SEARCH("CU-",F562))),"Sin ticket. ","")&amp;IF(ISNA(MATCH(E562,Datos!$E$8:$E$22,0)),"Proyecto sin valor hora. ","")&amp;IF(ISNA(MATCH(D562,Datos!$A$8:$A$22,0)),"Persona fuera del equipo. ","")))</f>
        <v/>
      </c>
      <c r="I562" s="21" t="n"/>
      <c r="J562" s="22" t="n"/>
      <c r="K562" s="23">
        <f>IF(G562="","",IF(J562&lt;&gt;"",MIN(J562,G562),IF(OR(I562="Observada",I562="Rechazada"),0,G562)))</f>
        <v/>
      </c>
      <c r="L562" s="24" t="n"/>
      <c r="M562" s="25">
        <f>IF(OR(A562="",D562=""),0,IF(COUNTIFS($A$2:A562,A562,$D$2:D562,D562)=1,1,0))</f>
        <v/>
      </c>
    </row>
    <row r="563">
      <c r="A563" s="26" t="n"/>
      <c r="B563" s="27" t="n"/>
      <c r="C563" s="27" t="n"/>
      <c r="D563" s="28" t="n"/>
      <c r="E563" s="28" t="n"/>
      <c r="F563" s="29" t="n"/>
      <c r="G563" s="30" t="n"/>
      <c r="H563" s="20">
        <f>IF(A563="","",TRIM(IF(WEEKDAY(A563,2)&gt;5,"Fin de semana. ","")&amp;IF(SUMIFS($G$2:$G$601,$A$2:$A$601,A563,$D$2:$D$601,D563)&gt;9,"Más de 9 h en el día. ","")&amp;IF(AND(B563&lt;&gt;"",C563&lt;&gt;"",C563&lt;B563),"Cruza la medianoche. ","")&amp;IF(LEN(TRIM(F563))&lt;15,"Sin descripción suficiente. ","")&amp;IF(AND(ISERROR(SEARCH("R-0",F563)),ISERROR(SEARCH("CU-",F563))),"Sin ticket. ","")&amp;IF(ISNA(MATCH(E563,Datos!$E$8:$E$22,0)),"Proyecto sin valor hora. ","")&amp;IF(ISNA(MATCH(D563,Datos!$A$8:$A$22,0)),"Persona fuera del equipo. ","")))</f>
        <v/>
      </c>
      <c r="I563" s="21" t="n"/>
      <c r="J563" s="22" t="n"/>
      <c r="K563" s="23">
        <f>IF(G563="","",IF(J563&lt;&gt;"",MIN(J563,G563),IF(OR(I563="Observada",I563="Rechazada"),0,G563)))</f>
        <v/>
      </c>
      <c r="L563" s="24" t="n"/>
      <c r="M563" s="25">
        <f>IF(OR(A563="",D563=""),0,IF(COUNTIFS($A$2:A563,A563,$D$2:D563,D563)=1,1,0))</f>
        <v/>
      </c>
    </row>
    <row r="564">
      <c r="A564" s="26" t="n"/>
      <c r="B564" s="27" t="n"/>
      <c r="C564" s="27" t="n"/>
      <c r="D564" s="28" t="n"/>
      <c r="E564" s="28" t="n"/>
      <c r="F564" s="29" t="n"/>
      <c r="G564" s="30" t="n"/>
      <c r="H564" s="20">
        <f>IF(A564="","",TRIM(IF(WEEKDAY(A564,2)&gt;5,"Fin de semana. ","")&amp;IF(SUMIFS($G$2:$G$601,$A$2:$A$601,A564,$D$2:$D$601,D564)&gt;9,"Más de 9 h en el día. ","")&amp;IF(AND(B564&lt;&gt;"",C564&lt;&gt;"",C564&lt;B564),"Cruza la medianoche. ","")&amp;IF(LEN(TRIM(F564))&lt;15,"Sin descripción suficiente. ","")&amp;IF(AND(ISERROR(SEARCH("R-0",F564)),ISERROR(SEARCH("CU-",F564))),"Sin ticket. ","")&amp;IF(ISNA(MATCH(E564,Datos!$E$8:$E$22,0)),"Proyecto sin valor hora. ","")&amp;IF(ISNA(MATCH(D564,Datos!$A$8:$A$22,0)),"Persona fuera del equipo. ","")))</f>
        <v/>
      </c>
      <c r="I564" s="21" t="n"/>
      <c r="J564" s="22" t="n"/>
      <c r="K564" s="23">
        <f>IF(G564="","",IF(J564&lt;&gt;"",MIN(J564,G564),IF(OR(I564="Observada",I564="Rechazada"),0,G564)))</f>
        <v/>
      </c>
      <c r="L564" s="24" t="n"/>
      <c r="M564" s="25">
        <f>IF(OR(A564="",D564=""),0,IF(COUNTIFS($A$2:A564,A564,$D$2:D564,D564)=1,1,0))</f>
        <v/>
      </c>
    </row>
    <row r="565">
      <c r="A565" s="26" t="n"/>
      <c r="B565" s="27" t="n"/>
      <c r="C565" s="27" t="n"/>
      <c r="D565" s="28" t="n"/>
      <c r="E565" s="28" t="n"/>
      <c r="F565" s="29" t="n"/>
      <c r="G565" s="30" t="n"/>
      <c r="H565" s="20">
        <f>IF(A565="","",TRIM(IF(WEEKDAY(A565,2)&gt;5,"Fin de semana. ","")&amp;IF(SUMIFS($G$2:$G$601,$A$2:$A$601,A565,$D$2:$D$601,D565)&gt;9,"Más de 9 h en el día. ","")&amp;IF(AND(B565&lt;&gt;"",C565&lt;&gt;"",C565&lt;B565),"Cruza la medianoche. ","")&amp;IF(LEN(TRIM(F565))&lt;15,"Sin descripción suficiente. ","")&amp;IF(AND(ISERROR(SEARCH("R-0",F565)),ISERROR(SEARCH("CU-",F565))),"Sin ticket. ","")&amp;IF(ISNA(MATCH(E565,Datos!$E$8:$E$22,0)),"Proyecto sin valor hora. ","")&amp;IF(ISNA(MATCH(D565,Datos!$A$8:$A$22,0)),"Persona fuera del equipo. ","")))</f>
        <v/>
      </c>
      <c r="I565" s="21" t="n"/>
      <c r="J565" s="22" t="n"/>
      <c r="K565" s="23">
        <f>IF(G565="","",IF(J565&lt;&gt;"",MIN(J565,G565),IF(OR(I565="Observada",I565="Rechazada"),0,G565)))</f>
        <v/>
      </c>
      <c r="L565" s="24" t="n"/>
      <c r="M565" s="25">
        <f>IF(OR(A565="",D565=""),0,IF(COUNTIFS($A$2:A565,A565,$D$2:D565,D565)=1,1,0))</f>
        <v/>
      </c>
    </row>
    <row r="566">
      <c r="A566" s="26" t="n"/>
      <c r="B566" s="27" t="n"/>
      <c r="C566" s="27" t="n"/>
      <c r="D566" s="28" t="n"/>
      <c r="E566" s="28" t="n"/>
      <c r="F566" s="29" t="n"/>
      <c r="G566" s="30" t="n"/>
      <c r="H566" s="20">
        <f>IF(A566="","",TRIM(IF(WEEKDAY(A566,2)&gt;5,"Fin de semana. ","")&amp;IF(SUMIFS($G$2:$G$601,$A$2:$A$601,A566,$D$2:$D$601,D566)&gt;9,"Más de 9 h en el día. ","")&amp;IF(AND(B566&lt;&gt;"",C566&lt;&gt;"",C566&lt;B566),"Cruza la medianoche. ","")&amp;IF(LEN(TRIM(F566))&lt;15,"Sin descripción suficiente. ","")&amp;IF(AND(ISERROR(SEARCH("R-0",F566)),ISERROR(SEARCH("CU-",F566))),"Sin ticket. ","")&amp;IF(ISNA(MATCH(E566,Datos!$E$8:$E$22,0)),"Proyecto sin valor hora. ","")&amp;IF(ISNA(MATCH(D566,Datos!$A$8:$A$22,0)),"Persona fuera del equipo. ","")))</f>
        <v/>
      </c>
      <c r="I566" s="21" t="n"/>
      <c r="J566" s="22" t="n"/>
      <c r="K566" s="23">
        <f>IF(G566="","",IF(J566&lt;&gt;"",MIN(J566,G566),IF(OR(I566="Observada",I566="Rechazada"),0,G566)))</f>
        <v/>
      </c>
      <c r="L566" s="24" t="n"/>
      <c r="M566" s="25">
        <f>IF(OR(A566="",D566=""),0,IF(COUNTIFS($A$2:A566,A566,$D$2:D566,D566)=1,1,0))</f>
        <v/>
      </c>
    </row>
    <row r="567">
      <c r="A567" s="26" t="n"/>
      <c r="B567" s="27" t="n"/>
      <c r="C567" s="27" t="n"/>
      <c r="D567" s="28" t="n"/>
      <c r="E567" s="28" t="n"/>
      <c r="F567" s="29" t="n"/>
      <c r="G567" s="30" t="n"/>
      <c r="H567" s="20">
        <f>IF(A567="","",TRIM(IF(WEEKDAY(A567,2)&gt;5,"Fin de semana. ","")&amp;IF(SUMIFS($G$2:$G$601,$A$2:$A$601,A567,$D$2:$D$601,D567)&gt;9,"Más de 9 h en el día. ","")&amp;IF(AND(B567&lt;&gt;"",C567&lt;&gt;"",C567&lt;B567),"Cruza la medianoche. ","")&amp;IF(LEN(TRIM(F567))&lt;15,"Sin descripción suficiente. ","")&amp;IF(AND(ISERROR(SEARCH("R-0",F567)),ISERROR(SEARCH("CU-",F567))),"Sin ticket. ","")&amp;IF(ISNA(MATCH(E567,Datos!$E$8:$E$22,0)),"Proyecto sin valor hora. ","")&amp;IF(ISNA(MATCH(D567,Datos!$A$8:$A$22,0)),"Persona fuera del equipo. ","")))</f>
        <v/>
      </c>
      <c r="I567" s="21" t="n"/>
      <c r="J567" s="22" t="n"/>
      <c r="K567" s="23">
        <f>IF(G567="","",IF(J567&lt;&gt;"",MIN(J567,G567),IF(OR(I567="Observada",I567="Rechazada"),0,G567)))</f>
        <v/>
      </c>
      <c r="L567" s="24" t="n"/>
      <c r="M567" s="25">
        <f>IF(OR(A567="",D567=""),0,IF(COUNTIFS($A$2:A567,A567,$D$2:D567,D567)=1,1,0))</f>
        <v/>
      </c>
    </row>
    <row r="568">
      <c r="A568" s="26" t="n"/>
      <c r="B568" s="27" t="n"/>
      <c r="C568" s="27" t="n"/>
      <c r="D568" s="28" t="n"/>
      <c r="E568" s="28" t="n"/>
      <c r="F568" s="29" t="n"/>
      <c r="G568" s="30" t="n"/>
      <c r="H568" s="20">
        <f>IF(A568="","",TRIM(IF(WEEKDAY(A568,2)&gt;5,"Fin de semana. ","")&amp;IF(SUMIFS($G$2:$G$601,$A$2:$A$601,A568,$D$2:$D$601,D568)&gt;9,"Más de 9 h en el día. ","")&amp;IF(AND(B568&lt;&gt;"",C568&lt;&gt;"",C568&lt;B568),"Cruza la medianoche. ","")&amp;IF(LEN(TRIM(F568))&lt;15,"Sin descripción suficiente. ","")&amp;IF(AND(ISERROR(SEARCH("R-0",F568)),ISERROR(SEARCH("CU-",F568))),"Sin ticket. ","")&amp;IF(ISNA(MATCH(E568,Datos!$E$8:$E$22,0)),"Proyecto sin valor hora. ","")&amp;IF(ISNA(MATCH(D568,Datos!$A$8:$A$22,0)),"Persona fuera del equipo. ","")))</f>
        <v/>
      </c>
      <c r="I568" s="21" t="n"/>
      <c r="J568" s="22" t="n"/>
      <c r="K568" s="23">
        <f>IF(G568="","",IF(J568&lt;&gt;"",MIN(J568,G568),IF(OR(I568="Observada",I568="Rechazada"),0,G568)))</f>
        <v/>
      </c>
      <c r="L568" s="24" t="n"/>
      <c r="M568" s="25">
        <f>IF(OR(A568="",D568=""),0,IF(COUNTIFS($A$2:A568,A568,$D$2:D568,D568)=1,1,0))</f>
        <v/>
      </c>
    </row>
    <row r="569">
      <c r="A569" s="26" t="n"/>
      <c r="B569" s="27" t="n"/>
      <c r="C569" s="27" t="n"/>
      <c r="D569" s="28" t="n"/>
      <c r="E569" s="28" t="n"/>
      <c r="F569" s="29" t="n"/>
      <c r="G569" s="30" t="n"/>
      <c r="H569" s="20">
        <f>IF(A569="","",TRIM(IF(WEEKDAY(A569,2)&gt;5,"Fin de semana. ","")&amp;IF(SUMIFS($G$2:$G$601,$A$2:$A$601,A569,$D$2:$D$601,D569)&gt;9,"Más de 9 h en el día. ","")&amp;IF(AND(B569&lt;&gt;"",C569&lt;&gt;"",C569&lt;B569),"Cruza la medianoche. ","")&amp;IF(LEN(TRIM(F569))&lt;15,"Sin descripción suficiente. ","")&amp;IF(AND(ISERROR(SEARCH("R-0",F569)),ISERROR(SEARCH("CU-",F569))),"Sin ticket. ","")&amp;IF(ISNA(MATCH(E569,Datos!$E$8:$E$22,0)),"Proyecto sin valor hora. ","")&amp;IF(ISNA(MATCH(D569,Datos!$A$8:$A$22,0)),"Persona fuera del equipo. ","")))</f>
        <v/>
      </c>
      <c r="I569" s="21" t="n"/>
      <c r="J569" s="22" t="n"/>
      <c r="K569" s="23">
        <f>IF(G569="","",IF(J569&lt;&gt;"",MIN(J569,G569),IF(OR(I569="Observada",I569="Rechazada"),0,G569)))</f>
        <v/>
      </c>
      <c r="L569" s="24" t="n"/>
      <c r="M569" s="25">
        <f>IF(OR(A569="",D569=""),0,IF(COUNTIFS($A$2:A569,A569,$D$2:D569,D569)=1,1,0))</f>
        <v/>
      </c>
    </row>
    <row r="570">
      <c r="A570" s="26" t="n"/>
      <c r="B570" s="27" t="n"/>
      <c r="C570" s="27" t="n"/>
      <c r="D570" s="28" t="n"/>
      <c r="E570" s="28" t="n"/>
      <c r="F570" s="29" t="n"/>
      <c r="G570" s="30" t="n"/>
      <c r="H570" s="20">
        <f>IF(A570="","",TRIM(IF(WEEKDAY(A570,2)&gt;5,"Fin de semana. ","")&amp;IF(SUMIFS($G$2:$G$601,$A$2:$A$601,A570,$D$2:$D$601,D570)&gt;9,"Más de 9 h en el día. ","")&amp;IF(AND(B570&lt;&gt;"",C570&lt;&gt;"",C570&lt;B570),"Cruza la medianoche. ","")&amp;IF(LEN(TRIM(F570))&lt;15,"Sin descripción suficiente. ","")&amp;IF(AND(ISERROR(SEARCH("R-0",F570)),ISERROR(SEARCH("CU-",F570))),"Sin ticket. ","")&amp;IF(ISNA(MATCH(E570,Datos!$E$8:$E$22,0)),"Proyecto sin valor hora. ","")&amp;IF(ISNA(MATCH(D570,Datos!$A$8:$A$22,0)),"Persona fuera del equipo. ","")))</f>
        <v/>
      </c>
      <c r="I570" s="21" t="n"/>
      <c r="J570" s="22" t="n"/>
      <c r="K570" s="23">
        <f>IF(G570="","",IF(J570&lt;&gt;"",MIN(J570,G570),IF(OR(I570="Observada",I570="Rechazada"),0,G570)))</f>
        <v/>
      </c>
      <c r="L570" s="24" t="n"/>
      <c r="M570" s="25">
        <f>IF(OR(A570="",D570=""),0,IF(COUNTIFS($A$2:A570,A570,$D$2:D570,D570)=1,1,0))</f>
        <v/>
      </c>
    </row>
    <row r="571">
      <c r="A571" s="26" t="n"/>
      <c r="B571" s="27" t="n"/>
      <c r="C571" s="27" t="n"/>
      <c r="D571" s="28" t="n"/>
      <c r="E571" s="28" t="n"/>
      <c r="F571" s="29" t="n"/>
      <c r="G571" s="30" t="n"/>
      <c r="H571" s="20">
        <f>IF(A571="","",TRIM(IF(WEEKDAY(A571,2)&gt;5,"Fin de semana. ","")&amp;IF(SUMIFS($G$2:$G$601,$A$2:$A$601,A571,$D$2:$D$601,D571)&gt;9,"Más de 9 h en el día. ","")&amp;IF(AND(B571&lt;&gt;"",C571&lt;&gt;"",C571&lt;B571),"Cruza la medianoche. ","")&amp;IF(LEN(TRIM(F571))&lt;15,"Sin descripción suficiente. ","")&amp;IF(AND(ISERROR(SEARCH("R-0",F571)),ISERROR(SEARCH("CU-",F571))),"Sin ticket. ","")&amp;IF(ISNA(MATCH(E571,Datos!$E$8:$E$22,0)),"Proyecto sin valor hora. ","")&amp;IF(ISNA(MATCH(D571,Datos!$A$8:$A$22,0)),"Persona fuera del equipo. ","")))</f>
        <v/>
      </c>
      <c r="I571" s="21" t="n"/>
      <c r="J571" s="22" t="n"/>
      <c r="K571" s="23">
        <f>IF(G571="","",IF(J571&lt;&gt;"",MIN(J571,G571),IF(OR(I571="Observada",I571="Rechazada"),0,G571)))</f>
        <v/>
      </c>
      <c r="L571" s="24" t="n"/>
      <c r="M571" s="25">
        <f>IF(OR(A571="",D571=""),0,IF(COUNTIFS($A$2:A571,A571,$D$2:D571,D571)=1,1,0))</f>
        <v/>
      </c>
    </row>
    <row r="572">
      <c r="A572" s="26" t="n"/>
      <c r="B572" s="27" t="n"/>
      <c r="C572" s="27" t="n"/>
      <c r="D572" s="28" t="n"/>
      <c r="E572" s="28" t="n"/>
      <c r="F572" s="29" t="n"/>
      <c r="G572" s="30" t="n"/>
      <c r="H572" s="20">
        <f>IF(A572="","",TRIM(IF(WEEKDAY(A572,2)&gt;5,"Fin de semana. ","")&amp;IF(SUMIFS($G$2:$G$601,$A$2:$A$601,A572,$D$2:$D$601,D572)&gt;9,"Más de 9 h en el día. ","")&amp;IF(AND(B572&lt;&gt;"",C572&lt;&gt;"",C572&lt;B572),"Cruza la medianoche. ","")&amp;IF(LEN(TRIM(F572))&lt;15,"Sin descripción suficiente. ","")&amp;IF(AND(ISERROR(SEARCH("R-0",F572)),ISERROR(SEARCH("CU-",F572))),"Sin ticket. ","")&amp;IF(ISNA(MATCH(E572,Datos!$E$8:$E$22,0)),"Proyecto sin valor hora. ","")&amp;IF(ISNA(MATCH(D572,Datos!$A$8:$A$22,0)),"Persona fuera del equipo. ","")))</f>
        <v/>
      </c>
      <c r="I572" s="21" t="n"/>
      <c r="J572" s="22" t="n"/>
      <c r="K572" s="23">
        <f>IF(G572="","",IF(J572&lt;&gt;"",MIN(J572,G572),IF(OR(I572="Observada",I572="Rechazada"),0,G572)))</f>
        <v/>
      </c>
      <c r="L572" s="24" t="n"/>
      <c r="M572" s="25">
        <f>IF(OR(A572="",D572=""),0,IF(COUNTIFS($A$2:A572,A572,$D$2:D572,D572)=1,1,0))</f>
        <v/>
      </c>
    </row>
    <row r="573">
      <c r="A573" s="26" t="n"/>
      <c r="B573" s="27" t="n"/>
      <c r="C573" s="27" t="n"/>
      <c r="D573" s="28" t="n"/>
      <c r="E573" s="28" t="n"/>
      <c r="F573" s="29" t="n"/>
      <c r="G573" s="30" t="n"/>
      <c r="H573" s="20">
        <f>IF(A573="","",TRIM(IF(WEEKDAY(A573,2)&gt;5,"Fin de semana. ","")&amp;IF(SUMIFS($G$2:$G$601,$A$2:$A$601,A573,$D$2:$D$601,D573)&gt;9,"Más de 9 h en el día. ","")&amp;IF(AND(B573&lt;&gt;"",C573&lt;&gt;"",C573&lt;B573),"Cruza la medianoche. ","")&amp;IF(LEN(TRIM(F573))&lt;15,"Sin descripción suficiente. ","")&amp;IF(AND(ISERROR(SEARCH("R-0",F573)),ISERROR(SEARCH("CU-",F573))),"Sin ticket. ","")&amp;IF(ISNA(MATCH(E573,Datos!$E$8:$E$22,0)),"Proyecto sin valor hora. ","")&amp;IF(ISNA(MATCH(D573,Datos!$A$8:$A$22,0)),"Persona fuera del equipo. ","")))</f>
        <v/>
      </c>
      <c r="I573" s="21" t="n"/>
      <c r="J573" s="22" t="n"/>
      <c r="K573" s="23">
        <f>IF(G573="","",IF(J573&lt;&gt;"",MIN(J573,G573),IF(OR(I573="Observada",I573="Rechazada"),0,G573)))</f>
        <v/>
      </c>
      <c r="L573" s="24" t="n"/>
      <c r="M573" s="25">
        <f>IF(OR(A573="",D573=""),0,IF(COUNTIFS($A$2:A573,A573,$D$2:D573,D573)=1,1,0))</f>
        <v/>
      </c>
    </row>
    <row r="574">
      <c r="A574" s="26" t="n"/>
      <c r="B574" s="27" t="n"/>
      <c r="C574" s="27" t="n"/>
      <c r="D574" s="28" t="n"/>
      <c r="E574" s="28" t="n"/>
      <c r="F574" s="29" t="n"/>
      <c r="G574" s="30" t="n"/>
      <c r="H574" s="20">
        <f>IF(A574="","",TRIM(IF(WEEKDAY(A574,2)&gt;5,"Fin de semana. ","")&amp;IF(SUMIFS($G$2:$G$601,$A$2:$A$601,A574,$D$2:$D$601,D574)&gt;9,"Más de 9 h en el día. ","")&amp;IF(AND(B574&lt;&gt;"",C574&lt;&gt;"",C574&lt;B574),"Cruza la medianoche. ","")&amp;IF(LEN(TRIM(F574))&lt;15,"Sin descripción suficiente. ","")&amp;IF(AND(ISERROR(SEARCH("R-0",F574)),ISERROR(SEARCH("CU-",F574))),"Sin ticket. ","")&amp;IF(ISNA(MATCH(E574,Datos!$E$8:$E$22,0)),"Proyecto sin valor hora. ","")&amp;IF(ISNA(MATCH(D574,Datos!$A$8:$A$22,0)),"Persona fuera del equipo. ","")))</f>
        <v/>
      </c>
      <c r="I574" s="21" t="n"/>
      <c r="J574" s="22" t="n"/>
      <c r="K574" s="23">
        <f>IF(G574="","",IF(J574&lt;&gt;"",MIN(J574,G574),IF(OR(I574="Observada",I574="Rechazada"),0,G574)))</f>
        <v/>
      </c>
      <c r="L574" s="24" t="n"/>
      <c r="M574" s="25">
        <f>IF(OR(A574="",D574=""),0,IF(COUNTIFS($A$2:A574,A574,$D$2:D574,D574)=1,1,0))</f>
        <v/>
      </c>
    </row>
    <row r="575">
      <c r="A575" s="26" t="n"/>
      <c r="B575" s="27" t="n"/>
      <c r="C575" s="27" t="n"/>
      <c r="D575" s="28" t="n"/>
      <c r="E575" s="28" t="n"/>
      <c r="F575" s="29" t="n"/>
      <c r="G575" s="30" t="n"/>
      <c r="H575" s="20">
        <f>IF(A575="","",TRIM(IF(WEEKDAY(A575,2)&gt;5,"Fin de semana. ","")&amp;IF(SUMIFS($G$2:$G$601,$A$2:$A$601,A575,$D$2:$D$601,D575)&gt;9,"Más de 9 h en el día. ","")&amp;IF(AND(B575&lt;&gt;"",C575&lt;&gt;"",C575&lt;B575),"Cruza la medianoche. ","")&amp;IF(LEN(TRIM(F575))&lt;15,"Sin descripción suficiente. ","")&amp;IF(AND(ISERROR(SEARCH("R-0",F575)),ISERROR(SEARCH("CU-",F575))),"Sin ticket. ","")&amp;IF(ISNA(MATCH(E575,Datos!$E$8:$E$22,0)),"Proyecto sin valor hora. ","")&amp;IF(ISNA(MATCH(D575,Datos!$A$8:$A$22,0)),"Persona fuera del equipo. ","")))</f>
        <v/>
      </c>
      <c r="I575" s="21" t="n"/>
      <c r="J575" s="22" t="n"/>
      <c r="K575" s="23">
        <f>IF(G575="","",IF(J575&lt;&gt;"",MIN(J575,G575),IF(OR(I575="Observada",I575="Rechazada"),0,G575)))</f>
        <v/>
      </c>
      <c r="L575" s="24" t="n"/>
      <c r="M575" s="25">
        <f>IF(OR(A575="",D575=""),0,IF(COUNTIFS($A$2:A575,A575,$D$2:D575,D575)=1,1,0))</f>
        <v/>
      </c>
    </row>
    <row r="576">
      <c r="A576" s="26" t="n"/>
      <c r="B576" s="27" t="n"/>
      <c r="C576" s="27" t="n"/>
      <c r="D576" s="28" t="n"/>
      <c r="E576" s="28" t="n"/>
      <c r="F576" s="29" t="n"/>
      <c r="G576" s="30" t="n"/>
      <c r="H576" s="20">
        <f>IF(A576="","",TRIM(IF(WEEKDAY(A576,2)&gt;5,"Fin de semana. ","")&amp;IF(SUMIFS($G$2:$G$601,$A$2:$A$601,A576,$D$2:$D$601,D576)&gt;9,"Más de 9 h en el día. ","")&amp;IF(AND(B576&lt;&gt;"",C576&lt;&gt;"",C576&lt;B576),"Cruza la medianoche. ","")&amp;IF(LEN(TRIM(F576))&lt;15,"Sin descripción suficiente. ","")&amp;IF(AND(ISERROR(SEARCH("R-0",F576)),ISERROR(SEARCH("CU-",F576))),"Sin ticket. ","")&amp;IF(ISNA(MATCH(E576,Datos!$E$8:$E$22,0)),"Proyecto sin valor hora. ","")&amp;IF(ISNA(MATCH(D576,Datos!$A$8:$A$22,0)),"Persona fuera del equipo. ","")))</f>
        <v/>
      </c>
      <c r="I576" s="21" t="n"/>
      <c r="J576" s="22" t="n"/>
      <c r="K576" s="23">
        <f>IF(G576="","",IF(J576&lt;&gt;"",MIN(J576,G576),IF(OR(I576="Observada",I576="Rechazada"),0,G576)))</f>
        <v/>
      </c>
      <c r="L576" s="24" t="n"/>
      <c r="M576" s="25">
        <f>IF(OR(A576="",D576=""),0,IF(COUNTIFS($A$2:A576,A576,$D$2:D576,D576)=1,1,0))</f>
        <v/>
      </c>
    </row>
    <row r="577">
      <c r="A577" s="26" t="n"/>
      <c r="B577" s="27" t="n"/>
      <c r="C577" s="27" t="n"/>
      <c r="D577" s="28" t="n"/>
      <c r="E577" s="28" t="n"/>
      <c r="F577" s="29" t="n"/>
      <c r="G577" s="30" t="n"/>
      <c r="H577" s="20">
        <f>IF(A577="","",TRIM(IF(WEEKDAY(A577,2)&gt;5,"Fin de semana. ","")&amp;IF(SUMIFS($G$2:$G$601,$A$2:$A$601,A577,$D$2:$D$601,D577)&gt;9,"Más de 9 h en el día. ","")&amp;IF(AND(B577&lt;&gt;"",C577&lt;&gt;"",C577&lt;B577),"Cruza la medianoche. ","")&amp;IF(LEN(TRIM(F577))&lt;15,"Sin descripción suficiente. ","")&amp;IF(AND(ISERROR(SEARCH("R-0",F577)),ISERROR(SEARCH("CU-",F577))),"Sin ticket. ","")&amp;IF(ISNA(MATCH(E577,Datos!$E$8:$E$22,0)),"Proyecto sin valor hora. ","")&amp;IF(ISNA(MATCH(D577,Datos!$A$8:$A$22,0)),"Persona fuera del equipo. ","")))</f>
        <v/>
      </c>
      <c r="I577" s="21" t="n"/>
      <c r="J577" s="22" t="n"/>
      <c r="K577" s="23">
        <f>IF(G577="","",IF(J577&lt;&gt;"",MIN(J577,G577),IF(OR(I577="Observada",I577="Rechazada"),0,G577)))</f>
        <v/>
      </c>
      <c r="L577" s="24" t="n"/>
      <c r="M577" s="25">
        <f>IF(OR(A577="",D577=""),0,IF(COUNTIFS($A$2:A577,A577,$D$2:D577,D577)=1,1,0))</f>
        <v/>
      </c>
    </row>
    <row r="578">
      <c r="A578" s="26" t="n"/>
      <c r="B578" s="27" t="n"/>
      <c r="C578" s="27" t="n"/>
      <c r="D578" s="28" t="n"/>
      <c r="E578" s="28" t="n"/>
      <c r="F578" s="29" t="n"/>
      <c r="G578" s="30" t="n"/>
      <c r="H578" s="20">
        <f>IF(A578="","",TRIM(IF(WEEKDAY(A578,2)&gt;5,"Fin de semana. ","")&amp;IF(SUMIFS($G$2:$G$601,$A$2:$A$601,A578,$D$2:$D$601,D578)&gt;9,"Más de 9 h en el día. ","")&amp;IF(AND(B578&lt;&gt;"",C578&lt;&gt;"",C578&lt;B578),"Cruza la medianoche. ","")&amp;IF(LEN(TRIM(F578))&lt;15,"Sin descripción suficiente. ","")&amp;IF(AND(ISERROR(SEARCH("R-0",F578)),ISERROR(SEARCH("CU-",F578))),"Sin ticket. ","")&amp;IF(ISNA(MATCH(E578,Datos!$E$8:$E$22,0)),"Proyecto sin valor hora. ","")&amp;IF(ISNA(MATCH(D578,Datos!$A$8:$A$22,0)),"Persona fuera del equipo. ","")))</f>
        <v/>
      </c>
      <c r="I578" s="21" t="n"/>
      <c r="J578" s="22" t="n"/>
      <c r="K578" s="23">
        <f>IF(G578="","",IF(J578&lt;&gt;"",MIN(J578,G578),IF(OR(I578="Observada",I578="Rechazada"),0,G578)))</f>
        <v/>
      </c>
      <c r="L578" s="24" t="n"/>
      <c r="M578" s="25">
        <f>IF(OR(A578="",D578=""),0,IF(COUNTIFS($A$2:A578,A578,$D$2:D578,D578)=1,1,0))</f>
        <v/>
      </c>
    </row>
    <row r="579">
      <c r="A579" s="26" t="n"/>
      <c r="B579" s="27" t="n"/>
      <c r="C579" s="27" t="n"/>
      <c r="D579" s="28" t="n"/>
      <c r="E579" s="28" t="n"/>
      <c r="F579" s="29" t="n"/>
      <c r="G579" s="30" t="n"/>
      <c r="H579" s="20">
        <f>IF(A579="","",TRIM(IF(WEEKDAY(A579,2)&gt;5,"Fin de semana. ","")&amp;IF(SUMIFS($G$2:$G$601,$A$2:$A$601,A579,$D$2:$D$601,D579)&gt;9,"Más de 9 h en el día. ","")&amp;IF(AND(B579&lt;&gt;"",C579&lt;&gt;"",C579&lt;B579),"Cruza la medianoche. ","")&amp;IF(LEN(TRIM(F579))&lt;15,"Sin descripción suficiente. ","")&amp;IF(AND(ISERROR(SEARCH("R-0",F579)),ISERROR(SEARCH("CU-",F579))),"Sin ticket. ","")&amp;IF(ISNA(MATCH(E579,Datos!$E$8:$E$22,0)),"Proyecto sin valor hora. ","")&amp;IF(ISNA(MATCH(D579,Datos!$A$8:$A$22,0)),"Persona fuera del equipo. ","")))</f>
        <v/>
      </c>
      <c r="I579" s="21" t="n"/>
      <c r="J579" s="22" t="n"/>
      <c r="K579" s="23">
        <f>IF(G579="","",IF(J579&lt;&gt;"",MIN(J579,G579),IF(OR(I579="Observada",I579="Rechazada"),0,G579)))</f>
        <v/>
      </c>
      <c r="L579" s="24" t="n"/>
      <c r="M579" s="25">
        <f>IF(OR(A579="",D579=""),0,IF(COUNTIFS($A$2:A579,A579,$D$2:D579,D579)=1,1,0))</f>
        <v/>
      </c>
    </row>
    <row r="580">
      <c r="A580" s="26" t="n"/>
      <c r="B580" s="27" t="n"/>
      <c r="C580" s="27" t="n"/>
      <c r="D580" s="28" t="n"/>
      <c r="E580" s="28" t="n"/>
      <c r="F580" s="29" t="n"/>
      <c r="G580" s="30" t="n"/>
      <c r="H580" s="20">
        <f>IF(A580="","",TRIM(IF(WEEKDAY(A580,2)&gt;5,"Fin de semana. ","")&amp;IF(SUMIFS($G$2:$G$601,$A$2:$A$601,A580,$D$2:$D$601,D580)&gt;9,"Más de 9 h en el día. ","")&amp;IF(AND(B580&lt;&gt;"",C580&lt;&gt;"",C580&lt;B580),"Cruza la medianoche. ","")&amp;IF(LEN(TRIM(F580))&lt;15,"Sin descripción suficiente. ","")&amp;IF(AND(ISERROR(SEARCH("R-0",F580)),ISERROR(SEARCH("CU-",F580))),"Sin ticket. ","")&amp;IF(ISNA(MATCH(E580,Datos!$E$8:$E$22,0)),"Proyecto sin valor hora. ","")&amp;IF(ISNA(MATCH(D580,Datos!$A$8:$A$22,0)),"Persona fuera del equipo. ","")))</f>
        <v/>
      </c>
      <c r="I580" s="21" t="n"/>
      <c r="J580" s="22" t="n"/>
      <c r="K580" s="23">
        <f>IF(G580="","",IF(J580&lt;&gt;"",MIN(J580,G580),IF(OR(I580="Observada",I580="Rechazada"),0,G580)))</f>
        <v/>
      </c>
      <c r="L580" s="24" t="n"/>
      <c r="M580" s="25">
        <f>IF(OR(A580="",D580=""),0,IF(COUNTIFS($A$2:A580,A580,$D$2:D580,D580)=1,1,0))</f>
        <v/>
      </c>
    </row>
    <row r="581">
      <c r="A581" s="26" t="n"/>
      <c r="B581" s="27" t="n"/>
      <c r="C581" s="27" t="n"/>
      <c r="D581" s="28" t="n"/>
      <c r="E581" s="28" t="n"/>
      <c r="F581" s="29" t="n"/>
      <c r="G581" s="30" t="n"/>
      <c r="H581" s="20">
        <f>IF(A581="","",TRIM(IF(WEEKDAY(A581,2)&gt;5,"Fin de semana. ","")&amp;IF(SUMIFS($G$2:$G$601,$A$2:$A$601,A581,$D$2:$D$601,D581)&gt;9,"Más de 9 h en el día. ","")&amp;IF(AND(B581&lt;&gt;"",C581&lt;&gt;"",C581&lt;B581),"Cruza la medianoche. ","")&amp;IF(LEN(TRIM(F581))&lt;15,"Sin descripción suficiente. ","")&amp;IF(AND(ISERROR(SEARCH("R-0",F581)),ISERROR(SEARCH("CU-",F581))),"Sin ticket. ","")&amp;IF(ISNA(MATCH(E581,Datos!$E$8:$E$22,0)),"Proyecto sin valor hora. ","")&amp;IF(ISNA(MATCH(D581,Datos!$A$8:$A$22,0)),"Persona fuera del equipo. ","")))</f>
        <v/>
      </c>
      <c r="I581" s="21" t="n"/>
      <c r="J581" s="22" t="n"/>
      <c r="K581" s="23">
        <f>IF(G581="","",IF(J581&lt;&gt;"",MIN(J581,G581),IF(OR(I581="Observada",I581="Rechazada"),0,G581)))</f>
        <v/>
      </c>
      <c r="L581" s="24" t="n"/>
      <c r="M581" s="25">
        <f>IF(OR(A581="",D581=""),0,IF(COUNTIFS($A$2:A581,A581,$D$2:D581,D581)=1,1,0))</f>
        <v/>
      </c>
    </row>
    <row r="582">
      <c r="A582" s="26" t="n"/>
      <c r="B582" s="27" t="n"/>
      <c r="C582" s="27" t="n"/>
      <c r="D582" s="28" t="n"/>
      <c r="E582" s="28" t="n"/>
      <c r="F582" s="29" t="n"/>
      <c r="G582" s="30" t="n"/>
      <c r="H582" s="20">
        <f>IF(A582="","",TRIM(IF(WEEKDAY(A582,2)&gt;5,"Fin de semana. ","")&amp;IF(SUMIFS($G$2:$G$601,$A$2:$A$601,A582,$D$2:$D$601,D582)&gt;9,"Más de 9 h en el día. ","")&amp;IF(AND(B582&lt;&gt;"",C582&lt;&gt;"",C582&lt;B582),"Cruza la medianoche. ","")&amp;IF(LEN(TRIM(F582))&lt;15,"Sin descripción suficiente. ","")&amp;IF(AND(ISERROR(SEARCH("R-0",F582)),ISERROR(SEARCH("CU-",F582))),"Sin ticket. ","")&amp;IF(ISNA(MATCH(E582,Datos!$E$8:$E$22,0)),"Proyecto sin valor hora. ","")&amp;IF(ISNA(MATCH(D582,Datos!$A$8:$A$22,0)),"Persona fuera del equipo. ","")))</f>
        <v/>
      </c>
      <c r="I582" s="21" t="n"/>
      <c r="J582" s="22" t="n"/>
      <c r="K582" s="23">
        <f>IF(G582="","",IF(J582&lt;&gt;"",MIN(J582,G582),IF(OR(I582="Observada",I582="Rechazada"),0,G582)))</f>
        <v/>
      </c>
      <c r="L582" s="24" t="n"/>
      <c r="M582" s="25">
        <f>IF(OR(A582="",D582=""),0,IF(COUNTIFS($A$2:A582,A582,$D$2:D582,D582)=1,1,0))</f>
        <v/>
      </c>
    </row>
    <row r="583">
      <c r="A583" s="26" t="n"/>
      <c r="B583" s="27" t="n"/>
      <c r="C583" s="27" t="n"/>
      <c r="D583" s="28" t="n"/>
      <c r="E583" s="28" t="n"/>
      <c r="F583" s="29" t="n"/>
      <c r="G583" s="30" t="n"/>
      <c r="H583" s="20">
        <f>IF(A583="","",TRIM(IF(WEEKDAY(A583,2)&gt;5,"Fin de semana. ","")&amp;IF(SUMIFS($G$2:$G$601,$A$2:$A$601,A583,$D$2:$D$601,D583)&gt;9,"Más de 9 h en el día. ","")&amp;IF(AND(B583&lt;&gt;"",C583&lt;&gt;"",C583&lt;B583),"Cruza la medianoche. ","")&amp;IF(LEN(TRIM(F583))&lt;15,"Sin descripción suficiente. ","")&amp;IF(AND(ISERROR(SEARCH("R-0",F583)),ISERROR(SEARCH("CU-",F583))),"Sin ticket. ","")&amp;IF(ISNA(MATCH(E583,Datos!$E$8:$E$22,0)),"Proyecto sin valor hora. ","")&amp;IF(ISNA(MATCH(D583,Datos!$A$8:$A$22,0)),"Persona fuera del equipo. ","")))</f>
        <v/>
      </c>
      <c r="I583" s="21" t="n"/>
      <c r="J583" s="22" t="n"/>
      <c r="K583" s="23">
        <f>IF(G583="","",IF(J583&lt;&gt;"",MIN(J583,G583),IF(OR(I583="Observada",I583="Rechazada"),0,G583)))</f>
        <v/>
      </c>
      <c r="L583" s="24" t="n"/>
      <c r="M583" s="25">
        <f>IF(OR(A583="",D583=""),0,IF(COUNTIFS($A$2:A583,A583,$D$2:D583,D583)=1,1,0))</f>
        <v/>
      </c>
    </row>
    <row r="584">
      <c r="A584" s="26" t="n"/>
      <c r="B584" s="27" t="n"/>
      <c r="C584" s="27" t="n"/>
      <c r="D584" s="28" t="n"/>
      <c r="E584" s="28" t="n"/>
      <c r="F584" s="29" t="n"/>
      <c r="G584" s="30" t="n"/>
      <c r="H584" s="20">
        <f>IF(A584="","",TRIM(IF(WEEKDAY(A584,2)&gt;5,"Fin de semana. ","")&amp;IF(SUMIFS($G$2:$G$601,$A$2:$A$601,A584,$D$2:$D$601,D584)&gt;9,"Más de 9 h en el día. ","")&amp;IF(AND(B584&lt;&gt;"",C584&lt;&gt;"",C584&lt;B584),"Cruza la medianoche. ","")&amp;IF(LEN(TRIM(F584))&lt;15,"Sin descripción suficiente. ","")&amp;IF(AND(ISERROR(SEARCH("R-0",F584)),ISERROR(SEARCH("CU-",F584))),"Sin ticket. ","")&amp;IF(ISNA(MATCH(E584,Datos!$E$8:$E$22,0)),"Proyecto sin valor hora. ","")&amp;IF(ISNA(MATCH(D584,Datos!$A$8:$A$22,0)),"Persona fuera del equipo. ","")))</f>
        <v/>
      </c>
      <c r="I584" s="21" t="n"/>
      <c r="J584" s="22" t="n"/>
      <c r="K584" s="23">
        <f>IF(G584="","",IF(J584&lt;&gt;"",MIN(J584,G584),IF(OR(I584="Observada",I584="Rechazada"),0,G584)))</f>
        <v/>
      </c>
      <c r="L584" s="24" t="n"/>
      <c r="M584" s="25">
        <f>IF(OR(A584="",D584=""),0,IF(COUNTIFS($A$2:A584,A584,$D$2:D584,D584)=1,1,0))</f>
        <v/>
      </c>
    </row>
    <row r="585">
      <c r="A585" s="26" t="n"/>
      <c r="B585" s="27" t="n"/>
      <c r="C585" s="27" t="n"/>
      <c r="D585" s="28" t="n"/>
      <c r="E585" s="28" t="n"/>
      <c r="F585" s="29" t="n"/>
      <c r="G585" s="30" t="n"/>
      <c r="H585" s="20">
        <f>IF(A585="","",TRIM(IF(WEEKDAY(A585,2)&gt;5,"Fin de semana. ","")&amp;IF(SUMIFS($G$2:$G$601,$A$2:$A$601,A585,$D$2:$D$601,D585)&gt;9,"Más de 9 h en el día. ","")&amp;IF(AND(B585&lt;&gt;"",C585&lt;&gt;"",C585&lt;B585),"Cruza la medianoche. ","")&amp;IF(LEN(TRIM(F585))&lt;15,"Sin descripción suficiente. ","")&amp;IF(AND(ISERROR(SEARCH("R-0",F585)),ISERROR(SEARCH("CU-",F585))),"Sin ticket. ","")&amp;IF(ISNA(MATCH(E585,Datos!$E$8:$E$22,0)),"Proyecto sin valor hora. ","")&amp;IF(ISNA(MATCH(D585,Datos!$A$8:$A$22,0)),"Persona fuera del equipo. ","")))</f>
        <v/>
      </c>
      <c r="I585" s="21" t="n"/>
      <c r="J585" s="22" t="n"/>
      <c r="K585" s="23">
        <f>IF(G585="","",IF(J585&lt;&gt;"",MIN(J585,G585),IF(OR(I585="Observada",I585="Rechazada"),0,G585)))</f>
        <v/>
      </c>
      <c r="L585" s="24" t="n"/>
      <c r="M585" s="25">
        <f>IF(OR(A585="",D585=""),0,IF(COUNTIFS($A$2:A585,A585,$D$2:D585,D585)=1,1,0))</f>
        <v/>
      </c>
    </row>
    <row r="586">
      <c r="A586" s="26" t="n"/>
      <c r="B586" s="27" t="n"/>
      <c r="C586" s="27" t="n"/>
      <c r="D586" s="28" t="n"/>
      <c r="E586" s="28" t="n"/>
      <c r="F586" s="29" t="n"/>
      <c r="G586" s="30" t="n"/>
      <c r="H586" s="20">
        <f>IF(A586="","",TRIM(IF(WEEKDAY(A586,2)&gt;5,"Fin de semana. ","")&amp;IF(SUMIFS($G$2:$G$601,$A$2:$A$601,A586,$D$2:$D$601,D586)&gt;9,"Más de 9 h en el día. ","")&amp;IF(AND(B586&lt;&gt;"",C586&lt;&gt;"",C586&lt;B586),"Cruza la medianoche. ","")&amp;IF(LEN(TRIM(F586))&lt;15,"Sin descripción suficiente. ","")&amp;IF(AND(ISERROR(SEARCH("R-0",F586)),ISERROR(SEARCH("CU-",F586))),"Sin ticket. ","")&amp;IF(ISNA(MATCH(E586,Datos!$E$8:$E$22,0)),"Proyecto sin valor hora. ","")&amp;IF(ISNA(MATCH(D586,Datos!$A$8:$A$22,0)),"Persona fuera del equipo. ","")))</f>
        <v/>
      </c>
      <c r="I586" s="21" t="n"/>
      <c r="J586" s="22" t="n"/>
      <c r="K586" s="23">
        <f>IF(G586="","",IF(J586&lt;&gt;"",MIN(J586,G586),IF(OR(I586="Observada",I586="Rechazada"),0,G586)))</f>
        <v/>
      </c>
      <c r="L586" s="24" t="n"/>
      <c r="M586" s="25">
        <f>IF(OR(A586="",D586=""),0,IF(COUNTIFS($A$2:A586,A586,$D$2:D586,D586)=1,1,0))</f>
        <v/>
      </c>
    </row>
    <row r="587">
      <c r="A587" s="26" t="n"/>
      <c r="B587" s="27" t="n"/>
      <c r="C587" s="27" t="n"/>
      <c r="D587" s="28" t="n"/>
      <c r="E587" s="28" t="n"/>
      <c r="F587" s="29" t="n"/>
      <c r="G587" s="30" t="n"/>
      <c r="H587" s="20">
        <f>IF(A587="","",TRIM(IF(WEEKDAY(A587,2)&gt;5,"Fin de semana. ","")&amp;IF(SUMIFS($G$2:$G$601,$A$2:$A$601,A587,$D$2:$D$601,D587)&gt;9,"Más de 9 h en el día. ","")&amp;IF(AND(B587&lt;&gt;"",C587&lt;&gt;"",C587&lt;B587),"Cruza la medianoche. ","")&amp;IF(LEN(TRIM(F587))&lt;15,"Sin descripción suficiente. ","")&amp;IF(AND(ISERROR(SEARCH("R-0",F587)),ISERROR(SEARCH("CU-",F587))),"Sin ticket. ","")&amp;IF(ISNA(MATCH(E587,Datos!$E$8:$E$22,0)),"Proyecto sin valor hora. ","")&amp;IF(ISNA(MATCH(D587,Datos!$A$8:$A$22,0)),"Persona fuera del equipo. ","")))</f>
        <v/>
      </c>
      <c r="I587" s="21" t="n"/>
      <c r="J587" s="22" t="n"/>
      <c r="K587" s="23">
        <f>IF(G587="","",IF(J587&lt;&gt;"",MIN(J587,G587),IF(OR(I587="Observada",I587="Rechazada"),0,G587)))</f>
        <v/>
      </c>
      <c r="L587" s="24" t="n"/>
      <c r="M587" s="25">
        <f>IF(OR(A587="",D587=""),0,IF(COUNTIFS($A$2:A587,A587,$D$2:D587,D587)=1,1,0))</f>
        <v/>
      </c>
    </row>
    <row r="588">
      <c r="A588" s="26" t="n"/>
      <c r="B588" s="27" t="n"/>
      <c r="C588" s="27" t="n"/>
      <c r="D588" s="28" t="n"/>
      <c r="E588" s="28" t="n"/>
      <c r="F588" s="29" t="n"/>
      <c r="G588" s="30" t="n"/>
      <c r="H588" s="20">
        <f>IF(A588="","",TRIM(IF(WEEKDAY(A588,2)&gt;5,"Fin de semana. ","")&amp;IF(SUMIFS($G$2:$G$601,$A$2:$A$601,A588,$D$2:$D$601,D588)&gt;9,"Más de 9 h en el día. ","")&amp;IF(AND(B588&lt;&gt;"",C588&lt;&gt;"",C588&lt;B588),"Cruza la medianoche. ","")&amp;IF(LEN(TRIM(F588))&lt;15,"Sin descripción suficiente. ","")&amp;IF(AND(ISERROR(SEARCH("R-0",F588)),ISERROR(SEARCH("CU-",F588))),"Sin ticket. ","")&amp;IF(ISNA(MATCH(E588,Datos!$E$8:$E$22,0)),"Proyecto sin valor hora. ","")&amp;IF(ISNA(MATCH(D588,Datos!$A$8:$A$22,0)),"Persona fuera del equipo. ","")))</f>
        <v/>
      </c>
      <c r="I588" s="21" t="n"/>
      <c r="J588" s="22" t="n"/>
      <c r="K588" s="23">
        <f>IF(G588="","",IF(J588&lt;&gt;"",MIN(J588,G588),IF(OR(I588="Observada",I588="Rechazada"),0,G588)))</f>
        <v/>
      </c>
      <c r="L588" s="24" t="n"/>
      <c r="M588" s="25">
        <f>IF(OR(A588="",D588=""),0,IF(COUNTIFS($A$2:A588,A588,$D$2:D588,D588)=1,1,0))</f>
        <v/>
      </c>
    </row>
    <row r="589">
      <c r="A589" s="26" t="n"/>
      <c r="B589" s="27" t="n"/>
      <c r="C589" s="27" t="n"/>
      <c r="D589" s="28" t="n"/>
      <c r="E589" s="28" t="n"/>
      <c r="F589" s="29" t="n"/>
      <c r="G589" s="30" t="n"/>
      <c r="H589" s="20">
        <f>IF(A589="","",TRIM(IF(WEEKDAY(A589,2)&gt;5,"Fin de semana. ","")&amp;IF(SUMIFS($G$2:$G$601,$A$2:$A$601,A589,$D$2:$D$601,D589)&gt;9,"Más de 9 h en el día. ","")&amp;IF(AND(B589&lt;&gt;"",C589&lt;&gt;"",C589&lt;B589),"Cruza la medianoche. ","")&amp;IF(LEN(TRIM(F589))&lt;15,"Sin descripción suficiente. ","")&amp;IF(AND(ISERROR(SEARCH("R-0",F589)),ISERROR(SEARCH("CU-",F589))),"Sin ticket. ","")&amp;IF(ISNA(MATCH(E589,Datos!$E$8:$E$22,0)),"Proyecto sin valor hora. ","")&amp;IF(ISNA(MATCH(D589,Datos!$A$8:$A$22,0)),"Persona fuera del equipo. ","")))</f>
        <v/>
      </c>
      <c r="I589" s="21" t="n"/>
      <c r="J589" s="22" t="n"/>
      <c r="K589" s="23">
        <f>IF(G589="","",IF(J589&lt;&gt;"",MIN(J589,G589),IF(OR(I589="Observada",I589="Rechazada"),0,G589)))</f>
        <v/>
      </c>
      <c r="L589" s="24" t="n"/>
      <c r="M589" s="25">
        <f>IF(OR(A589="",D589=""),0,IF(COUNTIFS($A$2:A589,A589,$D$2:D589,D589)=1,1,0))</f>
        <v/>
      </c>
    </row>
    <row r="590">
      <c r="A590" s="26" t="n"/>
      <c r="B590" s="27" t="n"/>
      <c r="C590" s="27" t="n"/>
      <c r="D590" s="28" t="n"/>
      <c r="E590" s="28" t="n"/>
      <c r="F590" s="29" t="n"/>
      <c r="G590" s="30" t="n"/>
      <c r="H590" s="20">
        <f>IF(A590="","",TRIM(IF(WEEKDAY(A590,2)&gt;5,"Fin de semana. ","")&amp;IF(SUMIFS($G$2:$G$601,$A$2:$A$601,A590,$D$2:$D$601,D590)&gt;9,"Más de 9 h en el día. ","")&amp;IF(AND(B590&lt;&gt;"",C590&lt;&gt;"",C590&lt;B590),"Cruza la medianoche. ","")&amp;IF(LEN(TRIM(F590))&lt;15,"Sin descripción suficiente. ","")&amp;IF(AND(ISERROR(SEARCH("R-0",F590)),ISERROR(SEARCH("CU-",F590))),"Sin ticket. ","")&amp;IF(ISNA(MATCH(E590,Datos!$E$8:$E$22,0)),"Proyecto sin valor hora. ","")&amp;IF(ISNA(MATCH(D590,Datos!$A$8:$A$22,0)),"Persona fuera del equipo. ","")))</f>
        <v/>
      </c>
      <c r="I590" s="21" t="n"/>
      <c r="J590" s="22" t="n"/>
      <c r="K590" s="23">
        <f>IF(G590="","",IF(J590&lt;&gt;"",MIN(J590,G590),IF(OR(I590="Observada",I590="Rechazada"),0,G590)))</f>
        <v/>
      </c>
      <c r="L590" s="24" t="n"/>
      <c r="M590" s="25">
        <f>IF(OR(A590="",D590=""),0,IF(COUNTIFS($A$2:A590,A590,$D$2:D590,D590)=1,1,0))</f>
        <v/>
      </c>
    </row>
    <row r="591">
      <c r="A591" s="26" t="n"/>
      <c r="B591" s="27" t="n"/>
      <c r="C591" s="27" t="n"/>
      <c r="D591" s="28" t="n"/>
      <c r="E591" s="28" t="n"/>
      <c r="F591" s="29" t="n"/>
      <c r="G591" s="30" t="n"/>
      <c r="H591" s="20">
        <f>IF(A591="","",TRIM(IF(WEEKDAY(A591,2)&gt;5,"Fin de semana. ","")&amp;IF(SUMIFS($G$2:$G$601,$A$2:$A$601,A591,$D$2:$D$601,D591)&gt;9,"Más de 9 h en el día. ","")&amp;IF(AND(B591&lt;&gt;"",C591&lt;&gt;"",C591&lt;B591),"Cruza la medianoche. ","")&amp;IF(LEN(TRIM(F591))&lt;15,"Sin descripción suficiente. ","")&amp;IF(AND(ISERROR(SEARCH("R-0",F591)),ISERROR(SEARCH("CU-",F591))),"Sin ticket. ","")&amp;IF(ISNA(MATCH(E591,Datos!$E$8:$E$22,0)),"Proyecto sin valor hora. ","")&amp;IF(ISNA(MATCH(D591,Datos!$A$8:$A$22,0)),"Persona fuera del equipo. ","")))</f>
        <v/>
      </c>
      <c r="I591" s="21" t="n"/>
      <c r="J591" s="22" t="n"/>
      <c r="K591" s="23">
        <f>IF(G591="","",IF(J591&lt;&gt;"",MIN(J591,G591),IF(OR(I591="Observada",I591="Rechazada"),0,G591)))</f>
        <v/>
      </c>
      <c r="L591" s="24" t="n"/>
      <c r="M591" s="25">
        <f>IF(OR(A591="",D591=""),0,IF(COUNTIFS($A$2:A591,A591,$D$2:D591,D591)=1,1,0))</f>
        <v/>
      </c>
    </row>
    <row r="592">
      <c r="A592" s="26" t="n"/>
      <c r="B592" s="27" t="n"/>
      <c r="C592" s="27" t="n"/>
      <c r="D592" s="28" t="n"/>
      <c r="E592" s="28" t="n"/>
      <c r="F592" s="29" t="n"/>
      <c r="G592" s="30" t="n"/>
      <c r="H592" s="20">
        <f>IF(A592="","",TRIM(IF(WEEKDAY(A592,2)&gt;5,"Fin de semana. ","")&amp;IF(SUMIFS($G$2:$G$601,$A$2:$A$601,A592,$D$2:$D$601,D592)&gt;9,"Más de 9 h en el día. ","")&amp;IF(AND(B592&lt;&gt;"",C592&lt;&gt;"",C592&lt;B592),"Cruza la medianoche. ","")&amp;IF(LEN(TRIM(F592))&lt;15,"Sin descripción suficiente. ","")&amp;IF(AND(ISERROR(SEARCH("R-0",F592)),ISERROR(SEARCH("CU-",F592))),"Sin ticket. ","")&amp;IF(ISNA(MATCH(E592,Datos!$E$8:$E$22,0)),"Proyecto sin valor hora. ","")&amp;IF(ISNA(MATCH(D592,Datos!$A$8:$A$22,0)),"Persona fuera del equipo. ","")))</f>
        <v/>
      </c>
      <c r="I592" s="21" t="n"/>
      <c r="J592" s="22" t="n"/>
      <c r="K592" s="23">
        <f>IF(G592="","",IF(J592&lt;&gt;"",MIN(J592,G592),IF(OR(I592="Observada",I592="Rechazada"),0,G592)))</f>
        <v/>
      </c>
      <c r="L592" s="24" t="n"/>
      <c r="M592" s="25">
        <f>IF(OR(A592="",D592=""),0,IF(COUNTIFS($A$2:A592,A592,$D$2:D592,D592)=1,1,0))</f>
        <v/>
      </c>
    </row>
    <row r="593">
      <c r="A593" s="26" t="n"/>
      <c r="B593" s="27" t="n"/>
      <c r="C593" s="27" t="n"/>
      <c r="D593" s="28" t="n"/>
      <c r="E593" s="28" t="n"/>
      <c r="F593" s="29" t="n"/>
      <c r="G593" s="30" t="n"/>
      <c r="H593" s="20">
        <f>IF(A593="","",TRIM(IF(WEEKDAY(A593,2)&gt;5,"Fin de semana. ","")&amp;IF(SUMIFS($G$2:$G$601,$A$2:$A$601,A593,$D$2:$D$601,D593)&gt;9,"Más de 9 h en el día. ","")&amp;IF(AND(B593&lt;&gt;"",C593&lt;&gt;"",C593&lt;B593),"Cruza la medianoche. ","")&amp;IF(LEN(TRIM(F593))&lt;15,"Sin descripción suficiente. ","")&amp;IF(AND(ISERROR(SEARCH("R-0",F593)),ISERROR(SEARCH("CU-",F593))),"Sin ticket. ","")&amp;IF(ISNA(MATCH(E593,Datos!$E$8:$E$22,0)),"Proyecto sin valor hora. ","")&amp;IF(ISNA(MATCH(D593,Datos!$A$8:$A$22,0)),"Persona fuera del equipo. ","")))</f>
        <v/>
      </c>
      <c r="I593" s="21" t="n"/>
      <c r="J593" s="22" t="n"/>
      <c r="K593" s="23">
        <f>IF(G593="","",IF(J593&lt;&gt;"",MIN(J593,G593),IF(OR(I593="Observada",I593="Rechazada"),0,G593)))</f>
        <v/>
      </c>
      <c r="L593" s="24" t="n"/>
      <c r="M593" s="25">
        <f>IF(OR(A593="",D593=""),0,IF(COUNTIFS($A$2:A593,A593,$D$2:D593,D593)=1,1,0))</f>
        <v/>
      </c>
    </row>
    <row r="594">
      <c r="A594" s="26" t="n"/>
      <c r="B594" s="27" t="n"/>
      <c r="C594" s="27" t="n"/>
      <c r="D594" s="28" t="n"/>
      <c r="E594" s="28" t="n"/>
      <c r="F594" s="29" t="n"/>
      <c r="G594" s="30" t="n"/>
      <c r="H594" s="20">
        <f>IF(A594="","",TRIM(IF(WEEKDAY(A594,2)&gt;5,"Fin de semana. ","")&amp;IF(SUMIFS($G$2:$G$601,$A$2:$A$601,A594,$D$2:$D$601,D594)&gt;9,"Más de 9 h en el día. ","")&amp;IF(AND(B594&lt;&gt;"",C594&lt;&gt;"",C594&lt;B594),"Cruza la medianoche. ","")&amp;IF(LEN(TRIM(F594))&lt;15,"Sin descripción suficiente. ","")&amp;IF(AND(ISERROR(SEARCH("R-0",F594)),ISERROR(SEARCH("CU-",F594))),"Sin ticket. ","")&amp;IF(ISNA(MATCH(E594,Datos!$E$8:$E$22,0)),"Proyecto sin valor hora. ","")&amp;IF(ISNA(MATCH(D594,Datos!$A$8:$A$22,0)),"Persona fuera del equipo. ","")))</f>
        <v/>
      </c>
      <c r="I594" s="21" t="n"/>
      <c r="J594" s="22" t="n"/>
      <c r="K594" s="23">
        <f>IF(G594="","",IF(J594&lt;&gt;"",MIN(J594,G594),IF(OR(I594="Observada",I594="Rechazada"),0,G594)))</f>
        <v/>
      </c>
      <c r="L594" s="24" t="n"/>
      <c r="M594" s="25">
        <f>IF(OR(A594="",D594=""),0,IF(COUNTIFS($A$2:A594,A594,$D$2:D594,D594)=1,1,0))</f>
        <v/>
      </c>
    </row>
    <row r="595">
      <c r="A595" s="26" t="n"/>
      <c r="B595" s="27" t="n"/>
      <c r="C595" s="27" t="n"/>
      <c r="D595" s="28" t="n"/>
      <c r="E595" s="28" t="n"/>
      <c r="F595" s="29" t="n"/>
      <c r="G595" s="30" t="n"/>
      <c r="H595" s="20">
        <f>IF(A595="","",TRIM(IF(WEEKDAY(A595,2)&gt;5,"Fin de semana. ","")&amp;IF(SUMIFS($G$2:$G$601,$A$2:$A$601,A595,$D$2:$D$601,D595)&gt;9,"Más de 9 h en el día. ","")&amp;IF(AND(B595&lt;&gt;"",C595&lt;&gt;"",C595&lt;B595),"Cruza la medianoche. ","")&amp;IF(LEN(TRIM(F595))&lt;15,"Sin descripción suficiente. ","")&amp;IF(AND(ISERROR(SEARCH("R-0",F595)),ISERROR(SEARCH("CU-",F595))),"Sin ticket. ","")&amp;IF(ISNA(MATCH(E595,Datos!$E$8:$E$22,0)),"Proyecto sin valor hora. ","")&amp;IF(ISNA(MATCH(D595,Datos!$A$8:$A$22,0)),"Persona fuera del equipo. ","")))</f>
        <v/>
      </c>
      <c r="I595" s="21" t="n"/>
      <c r="J595" s="22" t="n"/>
      <c r="K595" s="23">
        <f>IF(G595="","",IF(J595&lt;&gt;"",MIN(J595,G595),IF(OR(I595="Observada",I595="Rechazada"),0,G595)))</f>
        <v/>
      </c>
      <c r="L595" s="24" t="n"/>
      <c r="M595" s="25">
        <f>IF(OR(A595="",D595=""),0,IF(COUNTIFS($A$2:A595,A595,$D$2:D595,D595)=1,1,0))</f>
        <v/>
      </c>
    </row>
    <row r="596">
      <c r="A596" s="26" t="n"/>
      <c r="B596" s="27" t="n"/>
      <c r="C596" s="27" t="n"/>
      <c r="D596" s="28" t="n"/>
      <c r="E596" s="28" t="n"/>
      <c r="F596" s="29" t="n"/>
      <c r="G596" s="30" t="n"/>
      <c r="H596" s="20">
        <f>IF(A596="","",TRIM(IF(WEEKDAY(A596,2)&gt;5,"Fin de semana. ","")&amp;IF(SUMIFS($G$2:$G$601,$A$2:$A$601,A596,$D$2:$D$601,D596)&gt;9,"Más de 9 h en el día. ","")&amp;IF(AND(B596&lt;&gt;"",C596&lt;&gt;"",C596&lt;B596),"Cruza la medianoche. ","")&amp;IF(LEN(TRIM(F596))&lt;15,"Sin descripción suficiente. ","")&amp;IF(AND(ISERROR(SEARCH("R-0",F596)),ISERROR(SEARCH("CU-",F596))),"Sin ticket. ","")&amp;IF(ISNA(MATCH(E596,Datos!$E$8:$E$22,0)),"Proyecto sin valor hora. ","")&amp;IF(ISNA(MATCH(D596,Datos!$A$8:$A$22,0)),"Persona fuera del equipo. ","")))</f>
        <v/>
      </c>
      <c r="I596" s="21" t="n"/>
      <c r="J596" s="22" t="n"/>
      <c r="K596" s="23">
        <f>IF(G596="","",IF(J596&lt;&gt;"",MIN(J596,G596),IF(OR(I596="Observada",I596="Rechazada"),0,G596)))</f>
        <v/>
      </c>
      <c r="L596" s="24" t="n"/>
      <c r="M596" s="25">
        <f>IF(OR(A596="",D596=""),0,IF(COUNTIFS($A$2:A596,A596,$D$2:D596,D596)=1,1,0))</f>
        <v/>
      </c>
    </row>
    <row r="597">
      <c r="A597" s="26" t="n"/>
      <c r="B597" s="27" t="n"/>
      <c r="C597" s="27" t="n"/>
      <c r="D597" s="28" t="n"/>
      <c r="E597" s="28" t="n"/>
      <c r="F597" s="29" t="n"/>
      <c r="G597" s="30" t="n"/>
      <c r="H597" s="20">
        <f>IF(A597="","",TRIM(IF(WEEKDAY(A597,2)&gt;5,"Fin de semana. ","")&amp;IF(SUMIFS($G$2:$G$601,$A$2:$A$601,A597,$D$2:$D$601,D597)&gt;9,"Más de 9 h en el día. ","")&amp;IF(AND(B597&lt;&gt;"",C597&lt;&gt;"",C597&lt;B597),"Cruza la medianoche. ","")&amp;IF(LEN(TRIM(F597))&lt;15,"Sin descripción suficiente. ","")&amp;IF(AND(ISERROR(SEARCH("R-0",F597)),ISERROR(SEARCH("CU-",F597))),"Sin ticket. ","")&amp;IF(ISNA(MATCH(E597,Datos!$E$8:$E$22,0)),"Proyecto sin valor hora. ","")&amp;IF(ISNA(MATCH(D597,Datos!$A$8:$A$22,0)),"Persona fuera del equipo. ","")))</f>
        <v/>
      </c>
      <c r="I597" s="21" t="n"/>
      <c r="J597" s="22" t="n"/>
      <c r="K597" s="23">
        <f>IF(G597="","",IF(J597&lt;&gt;"",MIN(J597,G597),IF(OR(I597="Observada",I597="Rechazada"),0,G597)))</f>
        <v/>
      </c>
      <c r="L597" s="24" t="n"/>
      <c r="M597" s="25">
        <f>IF(OR(A597="",D597=""),0,IF(COUNTIFS($A$2:A597,A597,$D$2:D597,D597)=1,1,0))</f>
        <v/>
      </c>
    </row>
    <row r="598">
      <c r="A598" s="26" t="n"/>
      <c r="B598" s="27" t="n"/>
      <c r="C598" s="27" t="n"/>
      <c r="D598" s="28" t="n"/>
      <c r="E598" s="28" t="n"/>
      <c r="F598" s="29" t="n"/>
      <c r="G598" s="30" t="n"/>
      <c r="H598" s="20">
        <f>IF(A598="","",TRIM(IF(WEEKDAY(A598,2)&gt;5,"Fin de semana. ","")&amp;IF(SUMIFS($G$2:$G$601,$A$2:$A$601,A598,$D$2:$D$601,D598)&gt;9,"Más de 9 h en el día. ","")&amp;IF(AND(B598&lt;&gt;"",C598&lt;&gt;"",C598&lt;B598),"Cruza la medianoche. ","")&amp;IF(LEN(TRIM(F598))&lt;15,"Sin descripción suficiente. ","")&amp;IF(AND(ISERROR(SEARCH("R-0",F598)),ISERROR(SEARCH("CU-",F598))),"Sin ticket. ","")&amp;IF(ISNA(MATCH(E598,Datos!$E$8:$E$22,0)),"Proyecto sin valor hora. ","")&amp;IF(ISNA(MATCH(D598,Datos!$A$8:$A$22,0)),"Persona fuera del equipo. ","")))</f>
        <v/>
      </c>
      <c r="I598" s="21" t="n"/>
      <c r="J598" s="22" t="n"/>
      <c r="K598" s="23">
        <f>IF(G598="","",IF(J598&lt;&gt;"",MIN(J598,G598),IF(OR(I598="Observada",I598="Rechazada"),0,G598)))</f>
        <v/>
      </c>
      <c r="L598" s="24" t="n"/>
      <c r="M598" s="25">
        <f>IF(OR(A598="",D598=""),0,IF(COUNTIFS($A$2:A598,A598,$D$2:D598,D598)=1,1,0))</f>
        <v/>
      </c>
    </row>
    <row r="599">
      <c r="A599" s="26" t="n"/>
      <c r="B599" s="27" t="n"/>
      <c r="C599" s="27" t="n"/>
      <c r="D599" s="28" t="n"/>
      <c r="E599" s="28" t="n"/>
      <c r="F599" s="29" t="n"/>
      <c r="G599" s="30" t="n"/>
      <c r="H599" s="20">
        <f>IF(A599="","",TRIM(IF(WEEKDAY(A599,2)&gt;5,"Fin de semana. ","")&amp;IF(SUMIFS($G$2:$G$601,$A$2:$A$601,A599,$D$2:$D$601,D599)&gt;9,"Más de 9 h en el día. ","")&amp;IF(AND(B599&lt;&gt;"",C599&lt;&gt;"",C599&lt;B599),"Cruza la medianoche. ","")&amp;IF(LEN(TRIM(F599))&lt;15,"Sin descripción suficiente. ","")&amp;IF(AND(ISERROR(SEARCH("R-0",F599)),ISERROR(SEARCH("CU-",F599))),"Sin ticket. ","")&amp;IF(ISNA(MATCH(E599,Datos!$E$8:$E$22,0)),"Proyecto sin valor hora. ","")&amp;IF(ISNA(MATCH(D599,Datos!$A$8:$A$22,0)),"Persona fuera del equipo. ","")))</f>
        <v/>
      </c>
      <c r="I599" s="21" t="n"/>
      <c r="J599" s="22" t="n"/>
      <c r="K599" s="23">
        <f>IF(G599="","",IF(J599&lt;&gt;"",MIN(J599,G599),IF(OR(I599="Observada",I599="Rechazada"),0,G599)))</f>
        <v/>
      </c>
      <c r="L599" s="24" t="n"/>
      <c r="M599" s="25">
        <f>IF(OR(A599="",D599=""),0,IF(COUNTIFS($A$2:A599,A599,$D$2:D599,D599)=1,1,0))</f>
        <v/>
      </c>
    </row>
    <row r="600">
      <c r="A600" s="26" t="n"/>
      <c r="B600" s="27" t="n"/>
      <c r="C600" s="27" t="n"/>
      <c r="D600" s="28" t="n"/>
      <c r="E600" s="28" t="n"/>
      <c r="F600" s="29" t="n"/>
      <c r="G600" s="30" t="n"/>
      <c r="H600" s="20">
        <f>IF(A600="","",TRIM(IF(WEEKDAY(A600,2)&gt;5,"Fin de semana. ","")&amp;IF(SUMIFS($G$2:$G$601,$A$2:$A$601,A600,$D$2:$D$601,D600)&gt;9,"Más de 9 h en el día. ","")&amp;IF(AND(B600&lt;&gt;"",C600&lt;&gt;"",C600&lt;B600),"Cruza la medianoche. ","")&amp;IF(LEN(TRIM(F600))&lt;15,"Sin descripción suficiente. ","")&amp;IF(AND(ISERROR(SEARCH("R-0",F600)),ISERROR(SEARCH("CU-",F600))),"Sin ticket. ","")&amp;IF(ISNA(MATCH(E600,Datos!$E$8:$E$22,0)),"Proyecto sin valor hora. ","")&amp;IF(ISNA(MATCH(D600,Datos!$A$8:$A$22,0)),"Persona fuera del equipo. ","")))</f>
        <v/>
      </c>
      <c r="I600" s="21" t="n"/>
      <c r="J600" s="22" t="n"/>
      <c r="K600" s="23">
        <f>IF(G600="","",IF(J600&lt;&gt;"",MIN(J600,G600),IF(OR(I600="Observada",I600="Rechazada"),0,G600)))</f>
        <v/>
      </c>
      <c r="L600" s="24" t="n"/>
      <c r="M600" s="25">
        <f>IF(OR(A600="",D600=""),0,IF(COUNTIFS($A$2:A600,A600,$D$2:D600,D600)=1,1,0))</f>
        <v/>
      </c>
    </row>
    <row r="601">
      <c r="A601" s="26" t="n"/>
      <c r="B601" s="27" t="n"/>
      <c r="C601" s="27" t="n"/>
      <c r="D601" s="28" t="n"/>
      <c r="E601" s="28" t="n"/>
      <c r="F601" s="29" t="n"/>
      <c r="G601" s="30" t="n"/>
      <c r="H601" s="20">
        <f>IF(A601="","",TRIM(IF(WEEKDAY(A601,2)&gt;5,"Fin de semana. ","")&amp;IF(SUMIFS($G$2:$G$601,$A$2:$A$601,A601,$D$2:$D$601,D601)&gt;9,"Más de 9 h en el día. ","")&amp;IF(AND(B601&lt;&gt;"",C601&lt;&gt;"",C601&lt;B601),"Cruza la medianoche. ","")&amp;IF(LEN(TRIM(F601))&lt;15,"Sin descripción suficiente. ","")&amp;IF(AND(ISERROR(SEARCH("R-0",F601)),ISERROR(SEARCH("CU-",F601))),"Sin ticket. ","")&amp;IF(ISNA(MATCH(E601,Datos!$E$8:$E$22,0)),"Proyecto sin valor hora. ","")&amp;IF(ISNA(MATCH(D601,Datos!$A$8:$A$22,0)),"Persona fuera del equipo. ","")))</f>
        <v/>
      </c>
      <c r="I601" s="21" t="n"/>
      <c r="J601" s="22" t="n"/>
      <c r="K601" s="23">
        <f>IF(G601="","",IF(J601&lt;&gt;"",MIN(J601,G601),IF(OR(I601="Observada",I601="Rechazada"),0,G601)))</f>
        <v/>
      </c>
      <c r="L601" s="24" t="n"/>
      <c r="M601" s="25">
        <f>IF(OR(A601="",D601=""),0,IF(COUNTIFS($A$2:A601,A601,$D$2:D601,D601)=1,1,0))</f>
        <v/>
      </c>
    </row>
  </sheetData>
  <autoFilter ref="A1:L601"/>
  <conditionalFormatting sqref="H2:H601">
    <cfRule type="expression" priority="1" dxfId="0">
      <formula>LEN($H2)&gt;0</formula>
    </cfRule>
  </conditionalFormatting>
  <dataValidations count="2">
    <dataValidation sqref="I2:I601" showDropDown="0" showInputMessage="0" showErrorMessage="0" allowBlank="1" type="list">
      <formula1>"Aprobada,Observada,Rechazada"</formula1>
    </dataValidation>
    <dataValidation sqref="G2:G601 J2:J601" showDropDown="0" showInputMessage="0" showErrorMessage="0" allowBlank="1" type="decimal">
      <formula1>0</formula1>
      <formula2>24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Datos!$A$8:$A$22</xm:f>
          </x14:formula1>
          <xm:sqref>D2:D601</xm:sqref>
        </x14:dataValidation>
        <x14:dataValidation type="list" allowBlank="1">
          <x14:formula1>
            <xm:f>Datos!$E$8:$E$22</xm:f>
          </x14:formula1>
          <xm:sqref>E2:E601</xm:sqref>
        </x14:dataValidation>
      </x14:dataValidation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2026-09-29T11:45:44Z</dcterms:created>
  <dcterms:modified xmlns:dcterms="http://purl.org/dc/terms/" xmlns:xsi="http://www.w3.org/2001/XMLSchema-instance" xsi:type="dcterms:W3CDTF">2026-10-01T13:47:47Z</dcterms:modified>
  <cp:lastModifiedBy>Augusto Villa</cp:lastModifiedBy>
</cp:coreProperties>
</file>